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5.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Override PartName="/xl/charts/colors11.xml" ContentType="application/vnd.ms-office.chartcolorstyle+xml"/>
  <Override PartName="/xl/charts/style11.xml" ContentType="application/vnd.ms-office.chartstyle+xml"/>
  <Override PartName="/xl/charts/colors12.xml" ContentType="application/vnd.ms-office.chartcolorstyle+xml"/>
  <Override PartName="/xl/charts/style12.xml" ContentType="application/vnd.ms-office.chartstyle+xml"/>
  <Override PartName="/xl/charts/colors13.xml" ContentType="application/vnd.ms-office.chartcolorstyle+xml"/>
  <Override PartName="/xl/charts/style13.xml" ContentType="application/vnd.ms-office.chartstyle+xml"/>
  <Override PartName="/xl/charts/colors14.xml" ContentType="application/vnd.ms-office.chartcolorstyle+xml"/>
  <Override PartName="/xl/charts/style14.xml" ContentType="application/vnd.ms-office.chartstyle+xml"/>
  <Override PartName="/xl/charts/colors15.xml" ContentType="application/vnd.ms-office.chartcolorstyle+xml"/>
  <Override PartName="/xl/charts/style15.xml" ContentType="application/vnd.ms-office.chartstyle+xml"/>
  <Override PartName="/xl/charts/colors16.xml" ContentType="application/vnd.ms-office.chartcolorstyle+xml"/>
  <Override PartName="/xl/charts/style16.xml" ContentType="application/vnd.ms-office.chartstyle+xml"/>
  <Override PartName="/xl/charts/colors17.xml" ContentType="application/vnd.ms-office.chartcolorstyle+xml"/>
  <Override PartName="/xl/charts/style17.xml" ContentType="application/vnd.ms-office.chartstyle+xml"/>
  <Override PartName="/xl/charts/colors18.xml" ContentType="application/vnd.ms-office.chartcolorstyle+xml"/>
  <Override PartName="/xl/charts/style18.xml" ContentType="application/vnd.ms-office.chartstyle+xml"/>
  <Override PartName="/xl/charts/colors19.xml" ContentType="application/vnd.ms-office.chartcolorstyle+xml"/>
  <Override PartName="/xl/charts/style19.xml" ContentType="application/vnd.ms-office.chartstyle+xml"/>
  <Override PartName="/xl/charts/colors20.xml" ContentType="application/vnd.ms-office.chartcolorstyle+xml"/>
  <Override PartName="/xl/charts/style20.xml" ContentType="application/vnd.ms-office.chartstyle+xml"/>
  <Override PartName="/xl/charts/colors21.xml" ContentType="application/vnd.ms-office.chartcolorstyle+xml"/>
  <Override PartName="/xl/charts/style21.xml" ContentType="application/vnd.ms-office.chartstyle+xml"/>
  <Override PartName="/xl/charts/colors22.xml" ContentType="application/vnd.ms-office.chartcolorstyle+xml"/>
  <Override PartName="/xl/charts/style22.xml" ContentType="application/vnd.ms-office.chartstyle+xml"/>
  <Override PartName="/xl/charts/colors23.xml" ContentType="application/vnd.ms-office.chartcolorstyle+xml"/>
  <Override PartName="/xl/charts/style23.xml" ContentType="application/vnd.ms-office.chartstyle+xml"/>
  <Override PartName="/xl/charts/colors24.xml" ContentType="application/vnd.ms-office.chartcolorstyle+xml"/>
  <Override PartName="/xl/charts/style24.xml" ContentType="application/vnd.ms-office.chartstyle+xml"/>
  <Override PartName="/xl/charts/colors25.xml" ContentType="application/vnd.ms-office.chartcolorstyle+xml"/>
  <Override PartName="/xl/charts/style25.xml" ContentType="application/vnd.ms-office.chartstyle+xml"/>
  <Override PartName="/xl/charts/colors26.xml" ContentType="application/vnd.ms-office.chartcolorstyle+xml"/>
  <Override PartName="/xl/charts/style26.xml" ContentType="application/vnd.ms-office.chartstyle+xml"/>
  <Override PartName="/xl/charts/colors27.xml" ContentType="application/vnd.ms-office.chartcolorstyle+xml"/>
  <Override PartName="/xl/charts/style27.xml" ContentType="application/vnd.ms-office.chartstyle+xml"/>
  <Override PartName="/xl/charts/colors28.xml" ContentType="application/vnd.ms-office.chartcolorstyle+xml"/>
  <Override PartName="/xl/charts/style28.xml" ContentType="application/vnd.ms-office.chartstyle+xml"/>
  <Override PartName="/xl/charts/colors29.xml" ContentType="application/vnd.ms-office.chartcolorstyle+xml"/>
  <Override PartName="/xl/charts/style29.xml" ContentType="application/vnd.ms-office.chartstyle+xml"/>
  <Override PartName="/xl/charts/colors30.xml" ContentType="application/vnd.ms-office.chartcolorstyle+xml"/>
  <Override PartName="/xl/charts/style30.xml" ContentType="application/vnd.ms-office.chartstyle+xml"/>
  <Override PartName="/xl/charts/colors31.xml" ContentType="application/vnd.ms-office.chartcolorstyle+xml"/>
  <Override PartName="/xl/charts/style31.xml" ContentType="application/vnd.ms-office.chartstyle+xml"/>
  <Override PartName="/xl/charts/colors32.xml" ContentType="application/vnd.ms-office.chartcolorstyle+xml"/>
  <Override PartName="/xl/charts/style32.xml" ContentType="application/vnd.ms-office.chartstyle+xml"/>
  <Override PartName="/xl/charts/colors33.xml" ContentType="application/vnd.ms-office.chartcolorstyle+xml"/>
  <Override PartName="/xl/charts/style33.xml" ContentType="application/vnd.ms-office.chartstyle+xml"/>
  <Override PartName="/xl/charts/colors34.xml" ContentType="application/vnd.ms-office.chartcolorstyle+xml"/>
  <Override PartName="/xl/charts/style34.xml" ContentType="application/vnd.ms-office.chartstyle+xml"/>
  <Override PartName="/xl/charts/colors35.xml" ContentType="application/vnd.ms-office.chartcolorstyle+xml"/>
  <Override PartName="/xl/charts/style35.xml" ContentType="application/vnd.ms-office.chartstyle+xml"/>
  <Override PartName="/xl/charts/colors36.xml" ContentType="application/vnd.ms-office.chartcolorstyle+xml"/>
  <Override PartName="/xl/charts/style36.xml" ContentType="application/vnd.ms-office.chartstyle+xml"/>
  <Override PartName="/xl/charts/colors37.xml" ContentType="application/vnd.ms-office.chartcolorstyle+xml"/>
  <Override PartName="/xl/charts/style37.xml" ContentType="application/vnd.ms-office.chartstyle+xml"/>
  <Override PartName="/xl/charts/colors38.xml" ContentType="application/vnd.ms-office.chartcolorstyle+xml"/>
  <Override PartName="/xl/charts/style38.xml" ContentType="application/vnd.ms-office.chartstyle+xml"/>
  <Override PartName="/xl/charts/colors39.xml" ContentType="application/vnd.ms-office.chartcolorstyle+xml"/>
  <Override PartName="/xl/charts/style39.xml" ContentType="application/vnd.ms-office.chartstyle+xml"/>
  <Override PartName="/xl/charts/colors40.xml" ContentType="application/vnd.ms-office.chartcolorstyle+xml"/>
  <Override PartName="/xl/charts/style40.xml" ContentType="application/vnd.ms-office.chartstyle+xml"/>
  <Override PartName="/xl/charts/colors41.xml" ContentType="application/vnd.ms-office.chartcolorstyle+xml"/>
  <Override PartName="/xl/charts/style41.xml" ContentType="application/vnd.ms-office.chartstyle+xml"/>
  <Override PartName="/xl/charts/colors42.xml" ContentType="application/vnd.ms-office.chartcolorstyle+xml"/>
  <Override PartName="/xl/charts/style42.xml" ContentType="application/vnd.ms-office.chartstyle+xml"/>
  <Override PartName="/xl/charts/colors43.xml" ContentType="application/vnd.ms-office.chartcolorstyle+xml"/>
  <Override PartName="/xl/charts/style43.xml" ContentType="application/vnd.ms-office.chartstyle+xml"/>
  <Override PartName="/xl/charts/colors44.xml" ContentType="application/vnd.ms-office.chartcolorstyle+xml"/>
  <Override PartName="/xl/charts/style44.xml" ContentType="application/vnd.ms-office.chartstyle+xml"/>
  <Override PartName="/xl/charts/colors45.xml" ContentType="application/vnd.ms-office.chartcolorstyle+xml"/>
  <Override PartName="/xl/charts/style45.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392205" yWindow="0" windowWidth="22110" windowHeight="9390"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<sst xmlns="http://schemas.openxmlformats.org/spreadsheetml/2006/main" count="1039" uniqueCount="526">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</sst>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99814400"/>
        <c:axId val="71829184"/>
      </c:lineChart>
      <c:catAx>
        <c:axId val="99814400"/>
        <c:scaling>
          <c:orientation val="minMax"/>
        </c:scaling>
        <c:delete val="1"/>
        <c:axPos val="b"/>
        <c:majorTickMark val="none"/>
        <c:minorTickMark val="none"/>
        <c:tickLblPos val="nextTo"/>
        <c:crossAx val="71829184"/>
        <c:crosses val="autoZero"/>
        <c:auto val="1"/>
        <c:lblAlgn val="ctr"/>
        <c:lblOffset val="100"/>
        <c:noMultiLvlLbl val="0"/>
      </c:catAx>
      <c:valAx>
        <c:axId val="71829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9814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99865088"/>
        <c:axId val="71830336"/>
      </c:lineChart>
      <c:catAx>
        <c:axId val="99865088"/>
        <c:scaling>
          <c:orientation val="minMax"/>
        </c:scaling>
        <c:delete val="1"/>
        <c:axPos val="b"/>
        <c:majorTickMark val="none"/>
        <c:minorTickMark val="none"/>
        <c:tickLblPos val="nextTo"/>
        <c:crossAx val="71830336"/>
        <c:crosses val="autoZero"/>
        <c:auto val="1"/>
        <c:lblAlgn val="ctr"/>
        <c:lblOffset val="100"/>
        <c:noMultiLvlLbl val="0"/>
      </c:catAx>
      <c:valAx>
        <c:axId val="7183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9865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865600"/>
        <c:axId val="71832640"/>
      </c:lineChart>
      <c:catAx>
        <c:axId val="99865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32640"/>
        <c:crosses val="autoZero"/>
        <c:auto val="1"/>
        <c:lblAlgn val="ctr"/>
        <c:lblOffset val="100"/>
        <c:noMultiLvlLbl val="0"/>
      </c:catAx>
      <c:valAx>
        <c:axId val="71832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65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866624"/>
        <c:axId val="71834368"/>
      </c:lineChart>
      <c:catAx>
        <c:axId val="998666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34368"/>
        <c:crosses val="autoZero"/>
        <c:auto val="1"/>
        <c:lblAlgn val="ctr"/>
        <c:lblOffset val="100"/>
        <c:noMultiLvlLbl val="0"/>
      </c:catAx>
      <c:valAx>
        <c:axId val="718343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66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867136"/>
        <c:axId val="132043840"/>
      </c:lineChart>
      <c:catAx>
        <c:axId val="998671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43840"/>
        <c:crosses val="autoZero"/>
        <c:auto val="1"/>
        <c:lblAlgn val="ctr"/>
        <c:lblOffset val="100"/>
        <c:noMultiLvlLbl val="0"/>
      </c:catAx>
      <c:valAx>
        <c:axId val="1320438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67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868160"/>
        <c:axId val="132045568"/>
      </c:lineChart>
      <c:catAx>
        <c:axId val="99868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45568"/>
        <c:crosses val="autoZero"/>
        <c:auto val="1"/>
        <c:lblAlgn val="ctr"/>
        <c:lblOffset val="100"/>
        <c:noMultiLvlLbl val="0"/>
      </c:catAx>
      <c:valAx>
        <c:axId val="132045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68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0656"/>
        <c:axId val="127115840"/>
      </c:lineChart>
      <c:catAx>
        <c:axId val="104390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15840"/>
        <c:crosses val="autoZero"/>
        <c:auto val="1"/>
        <c:lblAlgn val="ctr"/>
        <c:lblOffset val="100"/>
        <c:noMultiLvlLbl val="0"/>
      </c:catAx>
      <c:valAx>
        <c:axId val="1271158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0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1168"/>
        <c:axId val="127117568"/>
      </c:lineChart>
      <c:catAx>
        <c:axId val="104391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17568"/>
        <c:crosses val="autoZero"/>
        <c:auto val="1"/>
        <c:lblAlgn val="ctr"/>
        <c:lblOffset val="100"/>
        <c:noMultiLvlLbl val="0"/>
      </c:catAx>
      <c:valAx>
        <c:axId val="127117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1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1680"/>
        <c:axId val="127119296"/>
      </c:lineChart>
      <c:catAx>
        <c:axId val="1043916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19296"/>
        <c:crosses val="autoZero"/>
        <c:auto val="1"/>
        <c:lblAlgn val="ctr"/>
        <c:lblOffset val="100"/>
        <c:noMultiLvlLbl val="0"/>
      </c:catAx>
      <c:valAx>
        <c:axId val="1271192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1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2192"/>
        <c:axId val="127121024"/>
      </c:lineChart>
      <c:catAx>
        <c:axId val="104392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21024"/>
        <c:crosses val="autoZero"/>
        <c:auto val="1"/>
        <c:lblAlgn val="ctr"/>
        <c:lblOffset val="100"/>
        <c:noMultiLvlLbl val="0"/>
      </c:catAx>
      <c:valAx>
        <c:axId val="127121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2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2704"/>
        <c:axId val="127122752"/>
      </c:lineChart>
      <c:catAx>
        <c:axId val="104392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22752"/>
        <c:crosses val="autoZero"/>
        <c:auto val="1"/>
        <c:lblAlgn val="ctr"/>
        <c:lblOffset val="100"/>
        <c:noMultiLvlLbl val="0"/>
      </c:catAx>
      <c:valAx>
        <c:axId val="1271227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2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3216"/>
        <c:axId val="129451136"/>
      </c:lineChart>
      <c:catAx>
        <c:axId val="104393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1136"/>
        <c:crosses val="autoZero"/>
        <c:auto val="1"/>
        <c:lblAlgn val="ctr"/>
        <c:lblOffset val="100"/>
        <c:noMultiLvlLbl val="0"/>
      </c:catAx>
      <c:valAx>
        <c:axId val="1294511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3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3728"/>
        <c:axId val="129452864"/>
      </c:lineChart>
      <c:catAx>
        <c:axId val="104393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2864"/>
        <c:crosses val="autoZero"/>
        <c:auto val="1"/>
        <c:lblAlgn val="ctr"/>
        <c:lblOffset val="100"/>
        <c:noMultiLvlLbl val="0"/>
      </c:catAx>
      <c:valAx>
        <c:axId val="1294528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3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4394240"/>
        <c:axId val="129454592"/>
      </c:lineChart>
      <c:catAx>
        <c:axId val="104394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4592"/>
        <c:crosses val="autoZero"/>
        <c:auto val="1"/>
        <c:lblAlgn val="ctr"/>
        <c:lblOffset val="100"/>
        <c:noMultiLvlLbl val="0"/>
      </c:catAx>
      <c:valAx>
        <c:axId val="1294545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94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6988288"/>
        <c:axId val="129456320"/>
      </c:lineChart>
      <c:catAx>
        <c:axId val="126988288"/>
        <c:scaling>
          <c:orientation val="minMax"/>
        </c:scaling>
        <c:delete val="1"/>
        <c:axPos val="b"/>
        <c:majorTickMark val="none"/>
        <c:minorTickMark val="none"/>
        <c:tickLblPos val="nextTo"/>
        <c:crossAx val="129456320"/>
        <c:crosses val="autoZero"/>
        <c:auto val="1"/>
        <c:lblAlgn val="ctr"/>
        <c:lblOffset val="100"/>
        <c:noMultiLvlLbl val="0"/>
      </c:catAx>
      <c:valAx>
        <c:axId val="129456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6988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38999296"/>
        <c:axId val="132046848"/>
      </c:lineChart>
      <c:catAx>
        <c:axId val="138999296"/>
        <c:scaling>
          <c:orientation val="minMax"/>
        </c:scaling>
        <c:delete val="1"/>
        <c:axPos val="b"/>
        <c:majorTickMark val="none"/>
        <c:minorTickMark val="none"/>
        <c:tickLblPos val="nextTo"/>
        <c:crossAx val="132046848"/>
        <c:crosses val="autoZero"/>
        <c:auto val="1"/>
        <c:lblAlgn val="ctr"/>
        <c:lblOffset val="100"/>
        <c:noMultiLvlLbl val="0"/>
      </c:catAx>
      <c:valAx>
        <c:axId val="132046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8999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38999808"/>
        <c:axId val="132048576"/>
      </c:lineChart>
      <c:catAx>
        <c:axId val="138999808"/>
        <c:scaling>
          <c:orientation val="minMax"/>
        </c:scaling>
        <c:delete val="1"/>
        <c:axPos val="b"/>
        <c:majorTickMark val="none"/>
        <c:minorTickMark val="none"/>
        <c:tickLblPos val="nextTo"/>
        <c:crossAx val="132048576"/>
        <c:crosses val="autoZero"/>
        <c:auto val="1"/>
        <c:lblAlgn val="ctr"/>
        <c:lblOffset val="100"/>
        <c:noMultiLvlLbl val="0"/>
      </c:catAx>
      <c:valAx>
        <c:axId val="13204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899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001344"/>
        <c:axId val="132050304"/>
      </c:lineChart>
      <c:catAx>
        <c:axId val="1390013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50304"/>
        <c:crosses val="autoZero"/>
        <c:auto val="1"/>
        <c:lblAlgn val="ctr"/>
        <c:lblOffset val="100"/>
        <c:noMultiLvlLbl val="0"/>
      </c:catAx>
      <c:valAx>
        <c:axId val="132050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01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69792"/>
        <c:axId val="132052032"/>
      </c:lineChart>
      <c:catAx>
        <c:axId val="139169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52032"/>
        <c:crosses val="autoZero"/>
        <c:auto val="1"/>
        <c:lblAlgn val="ctr"/>
        <c:lblOffset val="100"/>
        <c:noMultiLvlLbl val="0"/>
      </c:catAx>
      <c:valAx>
        <c:axId val="1320520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6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70304"/>
        <c:axId val="132053760"/>
      </c:lineChart>
      <c:catAx>
        <c:axId val="139170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53760"/>
        <c:crosses val="autoZero"/>
        <c:auto val="1"/>
        <c:lblAlgn val="ctr"/>
        <c:lblOffset val="100"/>
        <c:noMultiLvlLbl val="0"/>
      </c:catAx>
      <c:valAx>
        <c:axId val="1320537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0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70816"/>
        <c:axId val="99770944"/>
      </c:lineChart>
      <c:catAx>
        <c:axId val="139170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70944"/>
        <c:crosses val="autoZero"/>
        <c:auto val="1"/>
        <c:lblAlgn val="ctr"/>
        <c:lblOffset val="100"/>
        <c:noMultiLvlLbl val="0"/>
      </c:catAx>
      <c:valAx>
        <c:axId val="99770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0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71328"/>
        <c:axId val="99772672"/>
      </c:lineChart>
      <c:catAx>
        <c:axId val="139171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72672"/>
        <c:crosses val="autoZero"/>
        <c:auto val="1"/>
        <c:lblAlgn val="ctr"/>
        <c:lblOffset val="100"/>
        <c:noMultiLvlLbl val="0"/>
      </c:catAx>
      <c:valAx>
        <c:axId val="997726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71840"/>
        <c:axId val="99774400"/>
      </c:lineChart>
      <c:catAx>
        <c:axId val="139171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74400"/>
        <c:crosses val="autoZero"/>
        <c:auto val="1"/>
        <c:lblAlgn val="ctr"/>
        <c:lblOffset val="100"/>
        <c:noMultiLvlLbl val="0"/>
      </c:catAx>
      <c:valAx>
        <c:axId val="997744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72352"/>
        <c:axId val="99776128"/>
      </c:lineChart>
      <c:catAx>
        <c:axId val="139172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76128"/>
        <c:crosses val="autoZero"/>
        <c:auto val="1"/>
        <c:lblAlgn val="ctr"/>
        <c:lblOffset val="100"/>
        <c:noMultiLvlLbl val="0"/>
      </c:catAx>
      <c:valAx>
        <c:axId val="997761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9172864"/>
        <c:axId val="99777856"/>
      </c:lineChart>
      <c:catAx>
        <c:axId val="139172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77856"/>
        <c:crosses val="autoZero"/>
        <c:auto val="1"/>
        <c:lblAlgn val="ctr"/>
        <c:lblOffset val="100"/>
        <c:noMultiLvlLbl val="0"/>
      </c:catAx>
      <c:valAx>
        <c:axId val="99777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4379904"/>
        <c:axId val="104416384"/>
      </c:lineChart>
      <c:catAx>
        <c:axId val="144379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16384"/>
        <c:crosses val="autoZero"/>
        <c:auto val="1"/>
        <c:lblAlgn val="ctr"/>
        <c:lblOffset val="100"/>
        <c:noMultiLvlLbl val="0"/>
      </c:catAx>
      <c:valAx>
        <c:axId val="104416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79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4381440"/>
        <c:axId val="104418112"/>
      </c:lineChart>
      <c:catAx>
        <c:axId val="144381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18112"/>
        <c:crosses val="autoZero"/>
        <c:auto val="1"/>
        <c:lblAlgn val="ctr"/>
        <c:lblOffset val="100"/>
        <c:noMultiLvlLbl val="0"/>
      </c:catAx>
      <c:valAx>
        <c:axId val="104418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81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4381952"/>
        <c:axId val="104419840"/>
      </c:lineChart>
      <c:catAx>
        <c:axId val="144381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19840"/>
        <c:crosses val="autoZero"/>
        <c:auto val="1"/>
        <c:lblAlgn val="ctr"/>
        <c:lblOffset val="100"/>
        <c:noMultiLvlLbl val="0"/>
      </c:catAx>
      <c:valAx>
        <c:axId val="1044198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81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4382464"/>
        <c:axId val="104421568"/>
      </c:lineChart>
      <c:catAx>
        <c:axId val="144382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21568"/>
        <c:crosses val="autoZero"/>
        <c:auto val="1"/>
        <c:lblAlgn val="ctr"/>
        <c:lblOffset val="100"/>
        <c:noMultiLvlLbl val="0"/>
      </c:catAx>
      <c:valAx>
        <c:axId val="104421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82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5267968"/>
        <c:axId val="125132800"/>
      </c:lineChart>
      <c:catAx>
        <c:axId val="125267968"/>
        <c:scaling>
          <c:orientation val="minMax"/>
        </c:scaling>
        <c:delete val="1"/>
        <c:axPos val="b"/>
        <c:majorTickMark val="none"/>
        <c:minorTickMark val="none"/>
        <c:tickLblPos val="nextTo"/>
        <c:crossAx val="125132800"/>
        <c:crosses val="autoZero"/>
        <c:auto val="1"/>
        <c:lblAlgn val="ctr"/>
        <c:lblOffset val="100"/>
        <c:noMultiLvlLbl val="0"/>
      </c:catAx>
      <c:valAx>
        <c:axId val="12513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5267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28077824"/>
        <c:axId val="125134528"/>
      </c:lineChart>
      <c:catAx>
        <c:axId val="128077824"/>
        <c:scaling>
          <c:orientation val="minMax"/>
        </c:scaling>
        <c:delete val="1"/>
        <c:axPos val="b"/>
        <c:majorTickMark val="none"/>
        <c:minorTickMark val="none"/>
        <c:tickLblPos val="nextTo"/>
        <c:crossAx val="125134528"/>
        <c:crosses val="autoZero"/>
        <c:auto val="1"/>
        <c:lblAlgn val="ctr"/>
        <c:lblOffset val="100"/>
        <c:noMultiLvlLbl val="0"/>
      </c:catAx>
      <c:valAx>
        <c:axId val="12513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8077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28079872"/>
        <c:axId val="125136256"/>
      </c:lineChart>
      <c:catAx>
        <c:axId val="128079872"/>
        <c:scaling>
          <c:orientation val="minMax"/>
        </c:scaling>
        <c:delete val="1"/>
        <c:axPos val="b"/>
        <c:majorTickMark val="none"/>
        <c:minorTickMark val="none"/>
        <c:tickLblPos val="nextTo"/>
        <c:crossAx val="125136256"/>
        <c:crosses val="autoZero"/>
        <c:auto val="1"/>
        <c:lblAlgn val="ctr"/>
        <c:lblOffset val="100"/>
        <c:noMultiLvlLbl val="0"/>
      </c:catAx>
      <c:valAx>
        <c:axId val="12513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8079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8080384"/>
        <c:axId val="125137984"/>
      </c:lineChart>
      <c:catAx>
        <c:axId val="128080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137984"/>
        <c:crosses val="autoZero"/>
        <c:auto val="1"/>
        <c:lblAlgn val="ctr"/>
        <c:lblOffset val="100"/>
        <c:noMultiLvlLbl val="0"/>
      </c:catAx>
      <c:valAx>
        <c:axId val="125137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8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8081408"/>
        <c:axId val="125984768"/>
      </c:lineChart>
      <c:catAx>
        <c:axId val="1280814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4768"/>
        <c:crosses val="autoZero"/>
        <c:auto val="1"/>
        <c:lblAlgn val="ctr"/>
        <c:lblOffset val="100"/>
        <c:noMultiLvlLbl val="0"/>
      </c:catAx>
      <c:valAx>
        <c:axId val="125984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81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1936"/>
        <c:axId val="125986496"/>
      </c:lineChart>
      <c:catAx>
        <c:axId val="129191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6496"/>
        <c:crosses val="autoZero"/>
        <c:auto val="1"/>
        <c:lblAlgn val="ctr"/>
        <c:lblOffset val="100"/>
        <c:noMultiLvlLbl val="0"/>
      </c:catAx>
      <c:valAx>
        <c:axId val="125986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2448"/>
        <c:axId val="125988224"/>
      </c:lineChart>
      <c:catAx>
        <c:axId val="1291924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8224"/>
        <c:crosses val="autoZero"/>
        <c:auto val="1"/>
        <c:lblAlgn val="ctr"/>
        <c:lblOffset val="100"/>
        <c:noMultiLvlLbl val="0"/>
      </c:catAx>
      <c:valAx>
        <c:axId val="125988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2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2960"/>
        <c:axId val="125989952"/>
      </c:lineChart>
      <c:catAx>
        <c:axId val="129192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9952"/>
        <c:crosses val="autoZero"/>
        <c:auto val="1"/>
        <c:lblAlgn val="ctr"/>
        <c:lblOffset val="100"/>
        <c:noMultiLvlLbl val="0"/>
      </c:catAx>
      <c:valAx>
        <c:axId val="1259899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3472"/>
        <c:axId val="125991680"/>
      </c:lineChart>
      <c:catAx>
        <c:axId val="129193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1680"/>
        <c:crosses val="autoZero"/>
        <c:auto val="1"/>
        <c:lblAlgn val="ctr"/>
        <c:lblOffset val="100"/>
        <c:noMultiLvlLbl val="0"/>
      </c:catAx>
      <c:valAx>
        <c:axId val="125991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3984"/>
        <c:axId val="129344064"/>
      </c:lineChart>
      <c:catAx>
        <c:axId val="129193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4064"/>
        <c:crosses val="autoZero"/>
        <c:auto val="1"/>
        <c:lblAlgn val="ctr"/>
        <c:lblOffset val="100"/>
        <c:noMultiLvlLbl val="0"/>
      </c:catAx>
      <c:valAx>
        <c:axId val="129344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3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4496"/>
        <c:axId val="129345792"/>
      </c:lineChart>
      <c:catAx>
        <c:axId val="129194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5792"/>
        <c:crosses val="autoZero"/>
        <c:auto val="1"/>
        <c:lblAlgn val="ctr"/>
        <c:lblOffset val="100"/>
        <c:noMultiLvlLbl val="0"/>
      </c:catAx>
      <c:valAx>
        <c:axId val="1293457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4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5008"/>
        <c:axId val="129347520"/>
      </c:lineChart>
      <c:catAx>
        <c:axId val="129195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7520"/>
        <c:crosses val="autoZero"/>
        <c:auto val="1"/>
        <c:lblAlgn val="ctr"/>
        <c:lblOffset val="100"/>
        <c:noMultiLvlLbl val="0"/>
      </c:catAx>
      <c:valAx>
        <c:axId val="1293475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9195520"/>
        <c:axId val="129349248"/>
      </c:lineChart>
      <c:catAx>
        <c:axId val="129195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9248"/>
        <c:crosses val="autoZero"/>
        <c:auto val="1"/>
        <c:lblAlgn val="ctr"/>
        <c:lblOffset val="100"/>
        <c:noMultiLvlLbl val="0"/>
      </c:catAx>
      <c:valAx>
        <c:axId val="129349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5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0289664"/>
        <c:axId val="129350976"/>
      </c:lineChart>
      <c:catAx>
        <c:axId val="130289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50976"/>
        <c:crosses val="autoZero"/>
        <c:auto val="1"/>
        <c:lblAlgn val="ctr"/>
        <c:lblOffset val="100"/>
        <c:noMultiLvlLbl val="0"/>
      </c:catAx>
      <c:valAx>
        <c:axId val="129350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8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0290176"/>
        <c:axId val="130262144"/>
      </c:lineChart>
      <c:catAx>
        <c:axId val="130290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62144"/>
        <c:crosses val="autoZero"/>
        <c:auto val="1"/>
        <c:lblAlgn val="ctr"/>
        <c:lblOffset val="100"/>
        <c:noMultiLvlLbl val="0"/>
      </c:catAx>
      <c:valAx>
        <c:axId val="130262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90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30290688"/>
        <c:axId val="130263872"/>
      </c:lineChart>
      <c:catAx>
        <c:axId val="130290688"/>
        <c:scaling>
          <c:orientation val="minMax"/>
        </c:scaling>
        <c:delete val="1"/>
        <c:axPos val="b"/>
        <c:majorTickMark val="none"/>
        <c:minorTickMark val="none"/>
        <c:tickLblPos val="nextTo"/>
        <c:crossAx val="130263872"/>
        <c:crosses val="autoZero"/>
        <c:auto val="1"/>
        <c:lblAlgn val="ctr"/>
        <c:lblOffset val="100"/>
        <c:noMultiLvlLbl val="0"/>
      </c:catAx>
      <c:valAx>
        <c:axId val="130263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029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1</xdr:row>
          <xdr:rowOff>0</xdr:rowOff>
        </xdr:from>
        <xdr:to>
          <xdr:col>14</xdr:col>
          <xdr:colOff>704850</xdr:colOff>
          <xdr:row>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defaultColWidth="11.5703125" defaultRowHeight="14.25" x14ac:dyDescent="0.2"/>
  <cols>
    <col min="1" max="1" width="7" style="100" customWidth="1"/>
    <col min="2" max="2" width="21" style="100" customWidth="1"/>
    <col min="3" max="4" width="3.7109375" style="100" customWidth="1"/>
    <col min="5" max="6" width="20.7109375" style="100" customWidth="1"/>
    <col min="7" max="11" width="5.7109375" style="100" customWidth="1"/>
    <col min="12" max="12" width="3.28515625" style="100" customWidth="1"/>
    <col min="13" max="13" width="17.28515625" style="100" customWidth="1"/>
    <col min="14" max="16384" width="11.5703125" style="100"/>
  </cols>
  <sheetData>
    <row r="1" spans="2:13" ht="14.45" thickBot="1" x14ac:dyDescent="0.3">
      <c r="B1" s="197" t="s">
        <v>4</v>
      </c>
      <c r="C1" s="198"/>
      <c r="D1" s="198"/>
      <c r="E1" s="198"/>
      <c r="F1" s="198"/>
      <c r="G1" s="198"/>
      <c r="H1" s="198"/>
      <c r="I1" s="198"/>
      <c r="J1" s="198"/>
      <c r="K1" s="199"/>
    </row>
    <row r="2" spans="2:13" ht="13.9" x14ac:dyDescent="0.25">
      <c r="B2" s="145" t="s">
        <v>5</v>
      </c>
      <c r="C2" s="232" t="s">
        <v>414</v>
      </c>
      <c r="D2" s="233"/>
      <c r="E2" s="233"/>
      <c r="F2" s="233"/>
      <c r="G2" s="233"/>
      <c r="H2" s="233"/>
      <c r="I2" s="233"/>
      <c r="J2" s="233"/>
      <c r="K2" s="234"/>
    </row>
    <row r="3" spans="2:13" ht="15" x14ac:dyDescent="0.25">
      <c r="B3" s="146" t="s">
        <v>6</v>
      </c>
      <c r="C3" s="188" t="s">
        <v>415</v>
      </c>
      <c r="D3" s="188"/>
      <c r="E3" s="188"/>
      <c r="F3" s="188"/>
      <c r="G3" s="188"/>
      <c r="H3" s="188"/>
      <c r="I3" s="188"/>
      <c r="J3" s="188"/>
      <c r="K3" s="204"/>
    </row>
    <row r="4" spans="2:13" ht="13.9" x14ac:dyDescent="0.25">
      <c r="B4" s="146" t="s">
        <v>7</v>
      </c>
      <c r="C4" s="188" t="s">
        <v>222</v>
      </c>
      <c r="D4" s="188"/>
      <c r="E4" s="188"/>
      <c r="F4" s="188"/>
      <c r="G4" s="188"/>
      <c r="H4" s="188"/>
      <c r="I4" s="188"/>
      <c r="J4" s="188"/>
      <c r="K4" s="204"/>
    </row>
    <row r="5" spans="2:13" ht="13.9" x14ac:dyDescent="0.25">
      <c r="B5" s="146" t="s">
        <v>366</v>
      </c>
      <c r="C5" s="205">
        <v>30404</v>
      </c>
      <c r="D5" s="205"/>
      <c r="E5" s="205"/>
      <c r="F5" s="205"/>
      <c r="G5" s="205"/>
      <c r="H5" s="205"/>
      <c r="I5" s="205"/>
      <c r="J5" s="205"/>
      <c r="K5" s="206"/>
    </row>
    <row r="6" spans="2:13" ht="13.9" x14ac:dyDescent="0.25">
      <c r="B6" s="147" t="s">
        <v>367</v>
      </c>
      <c r="C6" s="220">
        <v>66</v>
      </c>
      <c r="D6" s="220"/>
      <c r="E6" s="220"/>
      <c r="F6" s="220"/>
      <c r="G6" s="220"/>
      <c r="H6" s="220"/>
      <c r="I6" s="220"/>
      <c r="J6" s="220"/>
      <c r="K6" s="221"/>
    </row>
    <row r="7" spans="2:13" ht="14.45" thickBot="1" x14ac:dyDescent="0.3">
      <c r="B7" s="148" t="s">
        <v>368</v>
      </c>
      <c r="C7" s="222">
        <v>166</v>
      </c>
      <c r="D7" s="222"/>
      <c r="E7" s="222"/>
      <c r="F7" s="222"/>
      <c r="G7" s="222"/>
      <c r="H7" s="222"/>
      <c r="I7" s="222"/>
      <c r="J7" s="222"/>
      <c r="K7" s="223"/>
    </row>
    <row r="8" spans="2:13" ht="10.15"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187" t="s">
        <v>264</v>
      </c>
      <c r="D10" s="187"/>
      <c r="E10" s="187"/>
      <c r="F10" s="187"/>
      <c r="G10" s="187"/>
      <c r="H10" s="187"/>
      <c r="I10" s="187"/>
      <c r="J10" s="187"/>
      <c r="K10" s="203"/>
    </row>
    <row r="11" spans="2:13" ht="15" customHeight="1" x14ac:dyDescent="0.25">
      <c r="B11" s="102" t="s">
        <v>8</v>
      </c>
      <c r="C11" s="188" t="s">
        <v>60</v>
      </c>
      <c r="D11" s="188"/>
      <c r="E11" s="188"/>
      <c r="F11" s="188"/>
      <c r="G11" s="188"/>
      <c r="H11" s="188"/>
      <c r="I11" s="188"/>
      <c r="J11" s="188"/>
      <c r="K11" s="204"/>
    </row>
    <row r="12" spans="2:13" ht="15" customHeight="1" x14ac:dyDescent="0.25">
      <c r="B12" s="102" t="s">
        <v>395</v>
      </c>
      <c r="C12" s="205">
        <v>30404</v>
      </c>
      <c r="D12" s="205"/>
      <c r="E12" s="205"/>
      <c r="F12" s="205"/>
      <c r="G12" s="205"/>
      <c r="H12" s="205"/>
      <c r="I12" s="205"/>
      <c r="J12" s="205"/>
      <c r="K12" s="206"/>
      <c r="M12" s="100" t="s">
        <v>403</v>
      </c>
    </row>
    <row r="13" spans="2:13" ht="15" customHeight="1" x14ac:dyDescent="0.25">
      <c r="B13" s="102" t="s">
        <v>396</v>
      </c>
      <c r="C13" s="212" t="s">
        <v>265</v>
      </c>
      <c r="D13" s="212"/>
      <c r="E13" s="212"/>
      <c r="F13" s="212"/>
      <c r="G13" s="212"/>
      <c r="H13" s="212"/>
      <c r="I13" s="212"/>
      <c r="J13" s="212"/>
      <c r="K13" s="213"/>
    </row>
    <row r="14" spans="2:13" ht="15" customHeight="1" thickBot="1" x14ac:dyDescent="0.3">
      <c r="B14" s="149" t="s">
        <v>397</v>
      </c>
      <c r="C14" s="224" t="s">
        <v>271</v>
      </c>
      <c r="D14" s="224"/>
      <c r="E14" s="224"/>
      <c r="F14" s="224"/>
      <c r="G14" s="224"/>
      <c r="H14" s="224"/>
      <c r="I14" s="224"/>
      <c r="J14" s="224"/>
      <c r="K14" s="225"/>
    </row>
    <row r="15" spans="2:13" ht="10.15"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226" t="s">
        <v>27</v>
      </c>
      <c r="C17" s="187" t="s">
        <v>416</v>
      </c>
      <c r="D17" s="187"/>
      <c r="E17" s="187"/>
      <c r="F17" s="187"/>
      <c r="G17" s="186" t="s">
        <v>0</v>
      </c>
      <c r="H17" s="186"/>
      <c r="I17" s="179">
        <v>30404</v>
      </c>
      <c r="J17" s="179"/>
      <c r="K17" s="180"/>
      <c r="M17" s="100" t="s">
        <v>403</v>
      </c>
    </row>
    <row r="18" spans="2:13" ht="15" customHeight="1" x14ac:dyDescent="0.25">
      <c r="B18" s="227"/>
      <c r="C18" s="188" t="s">
        <v>60</v>
      </c>
      <c r="D18" s="188"/>
      <c r="E18" s="188"/>
      <c r="F18" s="188"/>
      <c r="G18" s="185" t="s">
        <v>0</v>
      </c>
      <c r="H18" s="185"/>
      <c r="I18" s="181"/>
      <c r="J18" s="181"/>
      <c r="K18" s="182"/>
    </row>
    <row r="19" spans="2:13" ht="15" customHeight="1" x14ac:dyDescent="0.25">
      <c r="B19" s="227"/>
      <c r="C19" s="188" t="s">
        <v>60</v>
      </c>
      <c r="D19" s="188"/>
      <c r="E19" s="188"/>
      <c r="F19" s="188"/>
      <c r="G19" s="185" t="s">
        <v>0</v>
      </c>
      <c r="H19" s="185"/>
      <c r="I19" s="181"/>
      <c r="J19" s="181"/>
      <c r="K19" s="182"/>
    </row>
    <row r="20" spans="2:13" ht="15" customHeight="1" x14ac:dyDescent="0.25">
      <c r="B20" s="227"/>
      <c r="C20" s="188" t="s">
        <v>60</v>
      </c>
      <c r="D20" s="188"/>
      <c r="E20" s="188"/>
      <c r="F20" s="188"/>
      <c r="G20" s="185" t="s">
        <v>0</v>
      </c>
      <c r="H20" s="185"/>
      <c r="I20" s="181"/>
      <c r="J20" s="181"/>
      <c r="K20" s="182"/>
    </row>
    <row r="21" spans="2:13" ht="15" customHeight="1" x14ac:dyDescent="0.25">
      <c r="B21" s="227"/>
      <c r="C21" s="188" t="s">
        <v>60</v>
      </c>
      <c r="D21" s="188"/>
      <c r="E21" s="188"/>
      <c r="F21" s="188"/>
      <c r="G21" s="185" t="s">
        <v>0</v>
      </c>
      <c r="H21" s="185"/>
      <c r="I21" s="181"/>
      <c r="J21" s="181"/>
      <c r="K21" s="182"/>
    </row>
    <row r="22" spans="2:13" ht="15" customHeight="1" thickBot="1" x14ac:dyDescent="0.3">
      <c r="B22" s="228"/>
      <c r="C22" s="231" t="s">
        <v>417</v>
      </c>
      <c r="D22" s="231"/>
      <c r="E22" s="231"/>
      <c r="F22" s="231"/>
      <c r="G22" s="178" t="s">
        <v>0</v>
      </c>
      <c r="H22" s="178"/>
      <c r="I22" s="183">
        <v>43188</v>
      </c>
      <c r="J22" s="183"/>
      <c r="K22" s="184"/>
    </row>
    <row r="23" spans="2:13" ht="10.15" customHeight="1" thickBot="1" x14ac:dyDescent="0.3"/>
    <row r="24" spans="2:13" ht="14.45" thickBot="1" x14ac:dyDescent="0.3">
      <c r="B24" s="200" t="s">
        <v>9</v>
      </c>
      <c r="C24" s="201"/>
      <c r="D24" s="201"/>
      <c r="E24" s="201"/>
      <c r="F24" s="201"/>
      <c r="G24" s="201"/>
      <c r="H24" s="201"/>
      <c r="I24" s="201"/>
      <c r="J24" s="201"/>
      <c r="K24" s="202"/>
    </row>
    <row r="25" spans="2:13" ht="15" x14ac:dyDescent="0.25">
      <c r="B25" s="101" t="s">
        <v>1</v>
      </c>
      <c r="C25" s="187" t="s">
        <v>241</v>
      </c>
      <c r="D25" s="187"/>
      <c r="E25" s="187"/>
      <c r="F25" s="187"/>
      <c r="G25" s="187"/>
      <c r="H25" s="187"/>
      <c r="I25" s="187"/>
      <c r="J25" s="187"/>
      <c r="K25" s="203"/>
    </row>
    <row r="26" spans="2:13" ht="15" x14ac:dyDescent="0.25">
      <c r="B26" s="102" t="s">
        <v>10</v>
      </c>
      <c r="C26" s="188" t="s">
        <v>261</v>
      </c>
      <c r="D26" s="188"/>
      <c r="E26" s="188"/>
      <c r="F26" s="188"/>
      <c r="G26" s="188"/>
      <c r="H26" s="188"/>
      <c r="I26" s="188"/>
      <c r="J26" s="188"/>
      <c r="K26" s="204"/>
    </row>
    <row r="27" spans="2:13" ht="13.9" x14ac:dyDescent="0.25">
      <c r="B27" s="102" t="s">
        <v>0</v>
      </c>
      <c r="C27" s="205">
        <v>43236</v>
      </c>
      <c r="D27" s="205"/>
      <c r="E27" s="205"/>
      <c r="F27" s="205"/>
      <c r="G27" s="205"/>
      <c r="H27" s="205"/>
      <c r="I27" s="205"/>
      <c r="J27" s="205"/>
      <c r="K27" s="206"/>
    </row>
    <row r="28" spans="2:13" ht="13.9" x14ac:dyDescent="0.25">
      <c r="B28" s="102" t="s">
        <v>11</v>
      </c>
      <c r="C28" s="188" t="s">
        <v>278</v>
      </c>
      <c r="D28" s="188"/>
      <c r="E28" s="188"/>
      <c r="F28" s="188"/>
      <c r="G28" s="188"/>
      <c r="H28" s="188"/>
      <c r="I28" s="188"/>
      <c r="J28" s="188"/>
      <c r="K28" s="204"/>
    </row>
    <row r="29" spans="2:13" ht="76.900000000000006" customHeight="1" thickBot="1" x14ac:dyDescent="0.25">
      <c r="B29" s="103" t="s">
        <v>25</v>
      </c>
      <c r="C29" s="229" t="s">
        <v>418</v>
      </c>
      <c r="D29" s="229"/>
      <c r="E29" s="229"/>
      <c r="F29" s="229"/>
      <c r="G29" s="229"/>
      <c r="H29" s="229"/>
      <c r="I29" s="229"/>
      <c r="J29" s="229"/>
      <c r="K29" s="230"/>
    </row>
    <row r="30" spans="2:13" ht="10.15" customHeight="1" thickBot="1" x14ac:dyDescent="0.3"/>
    <row r="31" spans="2:13" ht="14.45" thickBot="1" x14ac:dyDescent="0.3">
      <c r="B31" s="197" t="s">
        <v>370</v>
      </c>
      <c r="C31" s="198"/>
      <c r="D31" s="198"/>
      <c r="E31" s="198"/>
      <c r="F31" s="198"/>
      <c r="G31" s="198"/>
      <c r="H31" s="198"/>
      <c r="I31" s="198"/>
      <c r="J31" s="198"/>
      <c r="K31" s="199"/>
    </row>
    <row r="32" spans="2:13" ht="13.9" x14ac:dyDescent="0.25">
      <c r="B32" s="208" t="s">
        <v>371</v>
      </c>
      <c r="C32" s="209"/>
      <c r="D32" s="209"/>
      <c r="E32" s="209"/>
      <c r="F32" s="210" t="s">
        <v>238</v>
      </c>
      <c r="G32" s="210"/>
      <c r="H32" s="210"/>
      <c r="I32" s="210"/>
      <c r="J32" s="210"/>
      <c r="K32" s="211"/>
    </row>
    <row r="33" spans="2:13" ht="15" x14ac:dyDescent="0.25">
      <c r="B33" s="214" t="s">
        <v>372</v>
      </c>
      <c r="C33" s="215"/>
      <c r="D33" s="207" t="s">
        <v>375</v>
      </c>
      <c r="E33" s="207"/>
      <c r="F33" s="212" t="s">
        <v>476</v>
      </c>
      <c r="G33" s="212"/>
      <c r="H33" s="212"/>
      <c r="I33" s="212"/>
      <c r="J33" s="212"/>
      <c r="K33" s="213"/>
    </row>
    <row r="34" spans="2:13" ht="15" x14ac:dyDescent="0.25">
      <c r="B34" s="216"/>
      <c r="C34" s="217"/>
      <c r="D34" s="207" t="s">
        <v>374</v>
      </c>
      <c r="E34" s="207"/>
      <c r="F34" s="212" t="s">
        <v>475</v>
      </c>
      <c r="G34" s="212"/>
      <c r="H34" s="212"/>
      <c r="I34" s="212"/>
      <c r="J34" s="212"/>
      <c r="K34" s="213"/>
    </row>
    <row r="35" spans="2:13" ht="15" x14ac:dyDescent="0.25">
      <c r="B35" s="216"/>
      <c r="C35" s="217"/>
      <c r="D35" s="207" t="s">
        <v>376</v>
      </c>
      <c r="E35" s="207"/>
      <c r="F35" s="212" t="s">
        <v>475</v>
      </c>
      <c r="G35" s="212"/>
      <c r="H35" s="212"/>
      <c r="I35" s="212"/>
      <c r="J35" s="212"/>
      <c r="K35" s="213"/>
    </row>
    <row r="36" spans="2:13" ht="15" x14ac:dyDescent="0.25">
      <c r="B36" s="218"/>
      <c r="C36" s="219"/>
      <c r="D36" s="207" t="s">
        <v>377</v>
      </c>
      <c r="E36" s="207"/>
      <c r="F36" s="212" t="s">
        <v>475</v>
      </c>
      <c r="G36" s="212"/>
      <c r="H36" s="212"/>
      <c r="I36" s="212"/>
      <c r="J36" s="212"/>
      <c r="K36" s="213"/>
    </row>
    <row r="37" spans="2:13" ht="15" x14ac:dyDescent="0.25">
      <c r="B37" s="189" t="s">
        <v>373</v>
      </c>
      <c r="C37" s="190"/>
      <c r="D37" s="152">
        <v>1</v>
      </c>
      <c r="E37" s="165" t="s">
        <v>499</v>
      </c>
      <c r="F37" s="166" t="s">
        <v>478</v>
      </c>
      <c r="G37" s="153">
        <v>9</v>
      </c>
      <c r="H37" s="193"/>
      <c r="I37" s="193"/>
      <c r="J37" s="193"/>
      <c r="K37" s="194"/>
    </row>
    <row r="38" spans="2:13" ht="15" x14ac:dyDescent="0.25">
      <c r="B38" s="189"/>
      <c r="C38" s="190"/>
      <c r="D38" s="154">
        <v>2</v>
      </c>
      <c r="E38" s="167" t="s">
        <v>500</v>
      </c>
      <c r="F38" s="168" t="s">
        <v>479</v>
      </c>
      <c r="G38" s="155">
        <v>10</v>
      </c>
      <c r="H38" s="193"/>
      <c r="I38" s="193"/>
      <c r="J38" s="193"/>
      <c r="K38" s="194"/>
    </row>
    <row r="39" spans="2:13" ht="15" x14ac:dyDescent="0.25">
      <c r="B39" s="189"/>
      <c r="C39" s="190"/>
      <c r="D39" s="156">
        <v>3</v>
      </c>
      <c r="E39" s="167" t="s">
        <v>501</v>
      </c>
      <c r="F39" s="168" t="s">
        <v>480</v>
      </c>
      <c r="G39" s="155">
        <v>11</v>
      </c>
      <c r="H39" s="193"/>
      <c r="I39" s="193"/>
      <c r="J39" s="193"/>
      <c r="K39" s="194"/>
    </row>
    <row r="40" spans="2:13" ht="15" x14ac:dyDescent="0.25">
      <c r="B40" s="189"/>
      <c r="C40" s="190"/>
      <c r="D40" s="154">
        <v>4</v>
      </c>
      <c r="E40" s="167" t="s">
        <v>502</v>
      </c>
      <c r="F40" s="168" t="s">
        <v>481</v>
      </c>
      <c r="G40" s="155">
        <v>12</v>
      </c>
      <c r="H40" s="193"/>
      <c r="I40" s="193"/>
      <c r="J40" s="193"/>
      <c r="K40" s="194"/>
    </row>
    <row r="41" spans="2:13" ht="15" x14ac:dyDescent="0.25">
      <c r="B41" s="189"/>
      <c r="C41" s="190"/>
      <c r="D41" s="156">
        <v>5</v>
      </c>
      <c r="E41" s="167" t="s">
        <v>503</v>
      </c>
      <c r="F41" s="168" t="s">
        <v>482</v>
      </c>
      <c r="G41" s="155">
        <v>13</v>
      </c>
      <c r="H41" s="193"/>
      <c r="I41" s="193"/>
      <c r="J41" s="193"/>
      <c r="K41" s="194"/>
    </row>
    <row r="42" spans="2:13" ht="15" x14ac:dyDescent="0.25">
      <c r="B42" s="189"/>
      <c r="C42" s="190"/>
      <c r="D42" s="154">
        <v>6</v>
      </c>
      <c r="E42" s="167" t="s">
        <v>504</v>
      </c>
      <c r="F42" s="168" t="s">
        <v>483</v>
      </c>
      <c r="G42" s="155">
        <v>14</v>
      </c>
      <c r="H42" s="193"/>
      <c r="I42" s="193"/>
      <c r="J42" s="193"/>
      <c r="K42" s="194"/>
    </row>
    <row r="43" spans="2:13" ht="15" x14ac:dyDescent="0.25">
      <c r="B43" s="189"/>
      <c r="C43" s="190"/>
      <c r="D43" s="156">
        <v>7</v>
      </c>
      <c r="E43" s="167" t="s">
        <v>505</v>
      </c>
      <c r="F43" s="168" t="s">
        <v>484</v>
      </c>
      <c r="G43" s="155">
        <v>15</v>
      </c>
      <c r="H43" s="193"/>
      <c r="I43" s="193"/>
      <c r="J43" s="193"/>
      <c r="K43" s="194"/>
    </row>
    <row r="44" spans="2:13" ht="15.75" thickBot="1" x14ac:dyDescent="0.3">
      <c r="B44" s="191"/>
      <c r="C44" s="192"/>
      <c r="D44" s="157">
        <v>8</v>
      </c>
      <c r="E44" s="169" t="s">
        <v>506</v>
      </c>
      <c r="F44" s="170" t="s">
        <v>485</v>
      </c>
      <c r="G44" s="158">
        <v>16</v>
      </c>
      <c r="H44" s="195"/>
      <c r="I44" s="195"/>
      <c r="J44" s="195"/>
      <c r="K44" s="196"/>
    </row>
    <row r="45" spans="2:13" ht="10.15" customHeight="1" thickBot="1" x14ac:dyDescent="0.25"/>
    <row r="46" spans="2:13" ht="15.75" thickBot="1" x14ac:dyDescent="0.25">
      <c r="B46" s="197" t="s">
        <v>378</v>
      </c>
      <c r="C46" s="198"/>
      <c r="D46" s="198"/>
      <c r="E46" s="198"/>
      <c r="F46" s="198"/>
      <c r="G46" s="198"/>
      <c r="H46" s="198"/>
      <c r="I46" s="198"/>
      <c r="J46" s="198"/>
      <c r="K46" s="199"/>
    </row>
    <row r="47" spans="2:13" x14ac:dyDescent="0.2">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
      <c r="B48" s="176" t="s">
        <v>385</v>
      </c>
      <c r="C48" s="172"/>
      <c r="D48" s="172"/>
      <c r="E48" s="173" t="s">
        <v>390</v>
      </c>
      <c r="F48" s="174"/>
      <c r="G48" s="175" t="s">
        <v>474</v>
      </c>
      <c r="H48" s="175"/>
      <c r="I48" s="175"/>
      <c r="J48" s="175"/>
      <c r="K48" s="175"/>
      <c r="M48" s="173" t="s">
        <v>390</v>
      </c>
    </row>
    <row r="49" spans="2:15" x14ac:dyDescent="0.2">
      <c r="B49" s="171" t="s">
        <v>386</v>
      </c>
      <c r="C49" s="172"/>
      <c r="D49" s="172"/>
      <c r="E49" s="173"/>
      <c r="F49" s="174"/>
      <c r="G49" s="175"/>
      <c r="H49" s="175"/>
      <c r="I49" s="175"/>
      <c r="J49" s="175"/>
      <c r="K49" s="175"/>
      <c r="M49" s="173" t="s">
        <v>391</v>
      </c>
    </row>
    <row r="50" spans="2:15" x14ac:dyDescent="0.2">
      <c r="B50" s="171" t="s">
        <v>387</v>
      </c>
      <c r="C50" s="172"/>
      <c r="D50" s="172"/>
      <c r="E50" s="173"/>
      <c r="F50" s="174"/>
      <c r="G50" s="175"/>
      <c r="H50" s="175"/>
      <c r="I50" s="175"/>
      <c r="J50" s="175"/>
      <c r="K50" s="175"/>
    </row>
    <row r="51" spans="2:15" ht="15" x14ac:dyDescent="0.25">
      <c r="B51" s="171" t="s">
        <v>388</v>
      </c>
      <c r="C51" s="172"/>
      <c r="D51" s="172"/>
      <c r="E51" s="173"/>
      <c r="F51" s="174"/>
      <c r="G51" s="175"/>
      <c r="H51" s="175"/>
      <c r="I51" s="175"/>
      <c r="J51" s="175"/>
      <c r="K51" s="175"/>
      <c r="M51" s="176"/>
      <c r="N51" s="163" t="s">
        <v>392</v>
      </c>
      <c r="O51" s="164"/>
    </row>
    <row r="52" spans="2:15" ht="15" x14ac:dyDescent="0.25">
      <c r="B52" s="171" t="s">
        <v>389</v>
      </c>
      <c r="C52" s="172"/>
      <c r="D52" s="172"/>
      <c r="E52" s="173"/>
      <c r="F52" s="174"/>
      <c r="G52" s="175"/>
      <c r="H52" s="175"/>
      <c r="I52" s="175"/>
      <c r="J52" s="175"/>
      <c r="K52" s="175"/>
      <c r="M52" s="171"/>
      <c r="N52" s="163" t="s">
        <v>393</v>
      </c>
      <c r="O52" s="164"/>
    </row>
    <row r="53" spans="2:15" x14ac:dyDescent="0.2">
      <c r="B53" s="171" t="s">
        <v>520</v>
      </c>
      <c r="C53" s="172"/>
      <c r="D53" s="172"/>
      <c r="E53" s="173"/>
      <c r="F53" s="174"/>
      <c r="G53" s="175"/>
      <c r="H53" s="175"/>
      <c r="I53" s="175"/>
      <c r="J53" s="175"/>
      <c r="K53" s="175"/>
    </row>
    <row r="54" spans="2:15" x14ac:dyDescent="0.2">
      <c r="B54" s="171" t="s">
        <v>521</v>
      </c>
      <c r="C54" s="172"/>
      <c r="D54" s="172"/>
      <c r="E54" s="173"/>
      <c r="F54" s="174"/>
      <c r="G54" s="175"/>
      <c r="H54" s="175"/>
      <c r="I54" s="175"/>
      <c r="J54" s="175"/>
      <c r="K54" s="175"/>
    </row>
    <row r="55" spans="2:15" x14ac:dyDescent="0.2">
      <c r="B55" s="171" t="s">
        <v>522</v>
      </c>
      <c r="C55" s="172"/>
      <c r="D55" s="172"/>
      <c r="E55" s="173"/>
      <c r="F55" s="174"/>
      <c r="G55" s="175"/>
      <c r="H55" s="175"/>
      <c r="I55" s="175"/>
      <c r="J55" s="175"/>
      <c r="K55" s="175"/>
    </row>
    <row r="56" spans="2:15" x14ac:dyDescent="0.2">
      <c r="B56" s="171" t="s">
        <v>523</v>
      </c>
      <c r="C56" s="172"/>
      <c r="D56" s="172"/>
      <c r="E56" s="173"/>
      <c r="F56" s="174"/>
      <c r="G56" s="175"/>
      <c r="H56" s="175"/>
      <c r="I56" s="175"/>
      <c r="J56" s="175"/>
      <c r="K56" s="175"/>
    </row>
    <row r="57" spans="2:15" x14ac:dyDescent="0.2">
      <c r="B57" s="171" t="s">
        <v>524</v>
      </c>
      <c r="C57" s="172"/>
      <c r="D57" s="172"/>
      <c r="E57" s="173"/>
      <c r="F57" s="174"/>
      <c r="G57" s="175"/>
      <c r="H57" s="175"/>
      <c r="I57" s="175"/>
      <c r="J57" s="175"/>
      <c r="K57" s="175"/>
    </row>
    <row r="58" spans="2:15" x14ac:dyDescent="0.2">
      <c r="B58" s="176" t="s">
        <v>419</v>
      </c>
      <c r="C58" s="173"/>
      <c r="D58" s="173"/>
      <c r="E58" s="173" t="s">
        <v>391</v>
      </c>
      <c r="F58" s="174"/>
      <c r="G58" s="175" t="s">
        <v>474</v>
      </c>
      <c r="H58" s="175"/>
      <c r="I58" s="175"/>
      <c r="J58" s="175"/>
      <c r="K58" s="173"/>
    </row>
    <row r="59" spans="2:15" x14ac:dyDescent="0.2">
      <c r="B59" s="176" t="s">
        <v>420</v>
      </c>
      <c r="C59" s="173"/>
      <c r="D59" s="173"/>
      <c r="E59" s="173" t="s">
        <v>391</v>
      </c>
      <c r="F59" s="174"/>
      <c r="G59" s="175" t="s">
        <v>474</v>
      </c>
      <c r="H59" s="175"/>
      <c r="I59" s="175"/>
      <c r="J59" s="175"/>
      <c r="K59" s="173"/>
    </row>
    <row r="60" spans="2:15" x14ac:dyDescent="0.2">
      <c r="B60" s="176" t="s">
        <v>421</v>
      </c>
      <c r="C60" s="173"/>
      <c r="D60" s="173"/>
      <c r="E60" s="173" t="s">
        <v>391</v>
      </c>
      <c r="F60" s="174"/>
      <c r="G60" s="175" t="s">
        <v>474</v>
      </c>
      <c r="H60" s="175"/>
      <c r="I60" s="175"/>
      <c r="J60" s="175"/>
      <c r="K60" s="173"/>
    </row>
    <row r="61" spans="2:15" x14ac:dyDescent="0.2">
      <c r="B61" s="176" t="s">
        <v>422</v>
      </c>
      <c r="C61" s="173"/>
      <c r="D61" s="173"/>
      <c r="E61" s="173" t="s">
        <v>391</v>
      </c>
      <c r="F61" s="174"/>
      <c r="G61" s="175" t="s">
        <v>474</v>
      </c>
      <c r="H61" s="175"/>
      <c r="I61" s="175"/>
      <c r="J61" s="175"/>
      <c r="K61" s="173"/>
    </row>
    <row r="62" spans="2:15" x14ac:dyDescent="0.2">
      <c r="B62" s="176" t="s">
        <v>423</v>
      </c>
      <c r="C62" s="173"/>
      <c r="D62" s="173"/>
      <c r="E62" s="173" t="s">
        <v>391</v>
      </c>
      <c r="F62" s="174"/>
      <c r="G62" s="175" t="s">
        <v>474</v>
      </c>
      <c r="H62" s="175"/>
      <c r="I62" s="175"/>
      <c r="J62" s="175"/>
      <c r="K62" s="173"/>
    </row>
    <row r="63" spans="2:15" x14ac:dyDescent="0.2">
      <c r="B63" s="171" t="s">
        <v>424</v>
      </c>
      <c r="C63" s="173"/>
      <c r="D63" s="173"/>
      <c r="E63" s="173"/>
      <c r="F63" s="174"/>
      <c r="G63" s="175"/>
      <c r="H63" s="175"/>
      <c r="I63" s="175"/>
      <c r="J63" s="175"/>
      <c r="K63" s="173"/>
    </row>
    <row r="64" spans="2:15" x14ac:dyDescent="0.2">
      <c r="B64" s="171" t="s">
        <v>425</v>
      </c>
      <c r="C64" s="173"/>
      <c r="D64" s="173"/>
      <c r="E64" s="173"/>
      <c r="F64" s="174"/>
      <c r="G64" s="175"/>
      <c r="H64" s="175"/>
      <c r="I64" s="175"/>
      <c r="J64" s="175"/>
      <c r="K64" s="173"/>
    </row>
    <row r="65" spans="2:11" x14ac:dyDescent="0.2">
      <c r="B65" s="171" t="s">
        <v>426</v>
      </c>
      <c r="C65" s="173"/>
      <c r="D65" s="173"/>
      <c r="E65" s="173"/>
      <c r="F65" s="174"/>
      <c r="G65" s="175"/>
      <c r="H65" s="175"/>
      <c r="I65" s="175"/>
      <c r="J65" s="175"/>
      <c r="K65" s="173"/>
    </row>
    <row r="66" spans="2:11" x14ac:dyDescent="0.2">
      <c r="B66" s="171" t="s">
        <v>427</v>
      </c>
      <c r="C66" s="173"/>
      <c r="D66" s="173"/>
      <c r="E66" s="173"/>
      <c r="F66" s="174"/>
      <c r="G66" s="175"/>
      <c r="H66" s="175"/>
      <c r="I66" s="175"/>
      <c r="J66" s="175"/>
      <c r="K66" s="173"/>
    </row>
    <row r="67" spans="2:11" x14ac:dyDescent="0.2">
      <c r="B67" s="171" t="s">
        <v>428</v>
      </c>
      <c r="C67" s="173"/>
      <c r="D67" s="173"/>
      <c r="E67" s="173"/>
      <c r="F67" s="174"/>
      <c r="G67" s="175"/>
      <c r="H67" s="175"/>
      <c r="I67" s="175"/>
      <c r="J67" s="175"/>
      <c r="K67" s="173"/>
    </row>
    <row r="68" spans="2:11" x14ac:dyDescent="0.2">
      <c r="B68" s="171" t="s">
        <v>429</v>
      </c>
      <c r="C68" s="173"/>
      <c r="D68" s="173"/>
      <c r="E68" s="173"/>
      <c r="F68" s="174"/>
      <c r="G68" s="175"/>
      <c r="H68" s="175"/>
      <c r="I68" s="175"/>
      <c r="J68" s="175"/>
      <c r="K68" s="173"/>
    </row>
    <row r="69" spans="2:11" x14ac:dyDescent="0.2">
      <c r="B69" s="171" t="s">
        <v>430</v>
      </c>
      <c r="C69" s="173"/>
      <c r="D69" s="173"/>
      <c r="E69" s="173"/>
      <c r="F69" s="174"/>
      <c r="G69" s="175"/>
      <c r="H69" s="175"/>
      <c r="I69" s="175"/>
      <c r="J69" s="175"/>
      <c r="K69" s="173"/>
    </row>
    <row r="70" spans="2:11" x14ac:dyDescent="0.2">
      <c r="B70" s="171" t="s">
        <v>431</v>
      </c>
      <c r="C70" s="173"/>
      <c r="D70" s="173"/>
      <c r="E70" s="173"/>
      <c r="F70" s="174"/>
      <c r="G70" s="175"/>
      <c r="H70" s="175"/>
      <c r="I70" s="175"/>
      <c r="J70" s="175"/>
      <c r="K70" s="173"/>
    </row>
    <row r="71" spans="2:11" x14ac:dyDescent="0.2">
      <c r="B71" s="171" t="s">
        <v>432</v>
      </c>
      <c r="C71" s="173"/>
      <c r="D71" s="173"/>
      <c r="E71" s="173"/>
      <c r="F71" s="174"/>
      <c r="G71" s="175"/>
      <c r="H71" s="175"/>
      <c r="I71" s="175"/>
      <c r="J71" s="175"/>
      <c r="K71" s="173"/>
    </row>
    <row r="72" spans="2:11" x14ac:dyDescent="0.2">
      <c r="B72" s="171" t="s">
        <v>433</v>
      </c>
      <c r="C72" s="173"/>
      <c r="D72" s="173"/>
      <c r="E72" s="173"/>
      <c r="F72" s="174"/>
      <c r="G72" s="175"/>
      <c r="H72" s="175"/>
      <c r="I72" s="175"/>
      <c r="J72" s="175"/>
      <c r="K72" s="173"/>
    </row>
    <row r="73" spans="2:11" x14ac:dyDescent="0.2">
      <c r="B73" s="171" t="s">
        <v>434</v>
      </c>
      <c r="C73" s="173"/>
      <c r="D73" s="173"/>
      <c r="E73" s="173"/>
      <c r="F73" s="174"/>
      <c r="G73" s="175"/>
      <c r="H73" s="175"/>
      <c r="I73" s="175"/>
      <c r="J73" s="175"/>
      <c r="K73" s="173"/>
    </row>
    <row r="74" spans="2:11" x14ac:dyDescent="0.2">
      <c r="B74" s="171" t="s">
        <v>435</v>
      </c>
      <c r="C74" s="173"/>
      <c r="D74" s="173"/>
      <c r="E74" s="173"/>
      <c r="F74" s="174"/>
      <c r="G74" s="175"/>
      <c r="H74" s="175"/>
      <c r="I74" s="175"/>
      <c r="J74" s="175"/>
      <c r="K74" s="173"/>
    </row>
    <row r="75" spans="2:11" x14ac:dyDescent="0.2">
      <c r="B75" s="171" t="s">
        <v>436</v>
      </c>
      <c r="C75" s="173"/>
      <c r="D75" s="173"/>
      <c r="E75" s="173"/>
      <c r="F75" s="174"/>
      <c r="G75" s="175"/>
      <c r="H75" s="175"/>
      <c r="I75" s="175"/>
      <c r="J75" s="175"/>
      <c r="K75" s="173"/>
    </row>
    <row r="76" spans="2:11" x14ac:dyDescent="0.2">
      <c r="B76" s="171" t="s">
        <v>437</v>
      </c>
      <c r="C76" s="173"/>
      <c r="D76" s="173"/>
      <c r="E76" s="173"/>
      <c r="F76" s="174"/>
      <c r="G76" s="175"/>
      <c r="H76" s="175"/>
      <c r="I76" s="175"/>
      <c r="J76" s="175"/>
      <c r="K76" s="173"/>
    </row>
    <row r="77" spans="2:11" x14ac:dyDescent="0.2">
      <c r="B77" s="171" t="s">
        <v>438</v>
      </c>
      <c r="C77" s="173"/>
      <c r="D77" s="173"/>
      <c r="E77" s="173"/>
      <c r="F77" s="174"/>
      <c r="G77" s="175"/>
      <c r="H77" s="175"/>
      <c r="I77" s="175"/>
      <c r="J77" s="175"/>
      <c r="K77" s="173"/>
    </row>
    <row r="78" spans="2:11" x14ac:dyDescent="0.2">
      <c r="B78" s="171" t="s">
        <v>439</v>
      </c>
      <c r="C78" s="173"/>
      <c r="D78" s="173"/>
      <c r="E78" s="173"/>
      <c r="F78" s="174"/>
      <c r="G78" s="175"/>
      <c r="H78" s="175"/>
      <c r="I78" s="175"/>
      <c r="J78" s="175"/>
      <c r="K78" s="173"/>
    </row>
    <row r="79" spans="2:11" x14ac:dyDescent="0.2">
      <c r="B79" s="171" t="s">
        <v>440</v>
      </c>
      <c r="C79" s="173"/>
      <c r="D79" s="173"/>
      <c r="E79" s="173"/>
      <c r="F79" s="174"/>
      <c r="G79" s="175"/>
      <c r="H79" s="175"/>
      <c r="I79" s="175"/>
      <c r="J79" s="175"/>
      <c r="K79" s="173"/>
    </row>
    <row r="80" spans="2:11" x14ac:dyDescent="0.2">
      <c r="B80" s="171" t="s">
        <v>441</v>
      </c>
      <c r="C80" s="173"/>
      <c r="D80" s="173"/>
      <c r="E80" s="173"/>
      <c r="F80" s="174"/>
      <c r="G80" s="175"/>
      <c r="H80" s="175"/>
      <c r="I80" s="175"/>
      <c r="J80" s="175"/>
      <c r="K80" s="173"/>
    </row>
    <row r="81" spans="2:11" x14ac:dyDescent="0.2">
      <c r="B81" s="171" t="s">
        <v>442</v>
      </c>
      <c r="C81" s="173"/>
      <c r="D81" s="173"/>
      <c r="E81" s="173"/>
      <c r="F81" s="174"/>
      <c r="G81" s="175"/>
      <c r="H81" s="175"/>
      <c r="I81" s="175"/>
      <c r="J81" s="175"/>
      <c r="K81" s="173"/>
    </row>
    <row r="82" spans="2:11" x14ac:dyDescent="0.2">
      <c r="B82" s="171" t="s">
        <v>443</v>
      </c>
      <c r="C82" s="173"/>
      <c r="D82" s="173"/>
      <c r="E82" s="173"/>
      <c r="F82" s="174"/>
      <c r="G82" s="175"/>
      <c r="H82" s="175"/>
      <c r="I82" s="175"/>
      <c r="J82" s="175"/>
      <c r="K82" s="173"/>
    </row>
    <row r="83" spans="2:11" x14ac:dyDescent="0.2">
      <c r="B83" s="171" t="s">
        <v>444</v>
      </c>
      <c r="C83" s="173"/>
      <c r="D83" s="173"/>
      <c r="E83" s="173"/>
      <c r="F83" s="174"/>
      <c r="G83" s="175"/>
      <c r="H83" s="175"/>
      <c r="I83" s="175"/>
      <c r="J83" s="175"/>
      <c r="K83" s="173"/>
    </row>
    <row r="84" spans="2:11" x14ac:dyDescent="0.2">
      <c r="B84" s="171" t="s">
        <v>445</v>
      </c>
      <c r="C84" s="173"/>
      <c r="D84" s="173"/>
      <c r="E84" s="173"/>
      <c r="F84" s="174"/>
      <c r="G84" s="175"/>
      <c r="H84" s="175"/>
      <c r="I84" s="175"/>
      <c r="J84" s="175"/>
      <c r="K84" s="173"/>
    </row>
    <row r="85" spans="2:11" x14ac:dyDescent="0.2">
      <c r="B85" s="171" t="s">
        <v>446</v>
      </c>
      <c r="C85" s="173"/>
      <c r="D85" s="173"/>
      <c r="E85" s="173"/>
      <c r="F85" s="174"/>
      <c r="G85" s="175"/>
      <c r="H85" s="175"/>
      <c r="I85" s="175"/>
      <c r="J85" s="175"/>
      <c r="K85" s="173"/>
    </row>
    <row r="86" spans="2:11" x14ac:dyDescent="0.2">
      <c r="B86" s="171" t="s">
        <v>447</v>
      </c>
      <c r="C86" s="173"/>
      <c r="D86" s="173"/>
      <c r="E86" s="173"/>
      <c r="F86" s="174"/>
      <c r="G86" s="175"/>
      <c r="H86" s="175"/>
      <c r="I86" s="175"/>
      <c r="J86" s="175"/>
      <c r="K86" s="173"/>
    </row>
    <row r="87" spans="2:11" x14ac:dyDescent="0.2">
      <c r="B87" s="171" t="s">
        <v>448</v>
      </c>
      <c r="C87" s="173"/>
      <c r="D87" s="173"/>
      <c r="E87" s="173"/>
      <c r="F87" s="174"/>
      <c r="G87" s="175"/>
      <c r="H87" s="175"/>
      <c r="I87" s="175"/>
      <c r="J87" s="175"/>
      <c r="K87" s="173"/>
    </row>
    <row r="88" spans="2:11" x14ac:dyDescent="0.2">
      <c r="B88" s="171" t="s">
        <v>449</v>
      </c>
      <c r="C88" s="173"/>
      <c r="D88" s="173"/>
      <c r="E88" s="173"/>
      <c r="F88" s="174"/>
      <c r="G88" s="175"/>
      <c r="H88" s="175"/>
      <c r="I88" s="175"/>
      <c r="J88" s="175"/>
      <c r="K88" s="173"/>
    </row>
    <row r="89" spans="2:11" x14ac:dyDescent="0.2">
      <c r="B89" s="171" t="s">
        <v>450</v>
      </c>
      <c r="C89" s="173"/>
      <c r="D89" s="173"/>
      <c r="E89" s="173"/>
      <c r="F89" s="174"/>
      <c r="G89" s="175"/>
      <c r="H89" s="175"/>
      <c r="I89" s="175"/>
      <c r="J89" s="175"/>
      <c r="K89" s="173"/>
    </row>
    <row r="90" spans="2:11" x14ac:dyDescent="0.2">
      <c r="B90" s="171" t="s">
        <v>451</v>
      </c>
      <c r="C90" s="173"/>
      <c r="D90" s="173"/>
      <c r="E90" s="173"/>
      <c r="F90" s="174"/>
      <c r="G90" s="175"/>
      <c r="H90" s="175"/>
      <c r="I90" s="175"/>
      <c r="J90" s="175"/>
      <c r="K90" s="173"/>
    </row>
    <row r="91" spans="2:11" x14ac:dyDescent="0.2">
      <c r="B91" s="171" t="s">
        <v>452</v>
      </c>
      <c r="C91" s="173"/>
      <c r="D91" s="173"/>
      <c r="E91" s="173"/>
      <c r="F91" s="174"/>
      <c r="G91" s="175"/>
      <c r="H91" s="175"/>
      <c r="I91" s="175"/>
      <c r="J91" s="175"/>
      <c r="K91" s="173"/>
    </row>
    <row r="92" spans="2:11" x14ac:dyDescent="0.2">
      <c r="B92" s="171" t="s">
        <v>453</v>
      </c>
      <c r="C92" s="173"/>
      <c r="D92" s="173"/>
      <c r="E92" s="173"/>
      <c r="F92" s="174"/>
      <c r="G92" s="175"/>
      <c r="H92" s="175"/>
      <c r="I92" s="175"/>
      <c r="J92" s="175"/>
      <c r="K92" s="173"/>
    </row>
    <row r="93" spans="2:11" x14ac:dyDescent="0.2">
      <c r="B93" s="171" t="s">
        <v>454</v>
      </c>
      <c r="C93" s="173"/>
      <c r="D93" s="173"/>
      <c r="E93" s="173"/>
      <c r="F93" s="174"/>
      <c r="G93" s="175"/>
      <c r="H93" s="175"/>
      <c r="I93" s="175"/>
      <c r="J93" s="175"/>
      <c r="K93" s="173"/>
    </row>
    <row r="94" spans="2:11" x14ac:dyDescent="0.2">
      <c r="B94" s="171" t="s">
        <v>455</v>
      </c>
      <c r="C94" s="173"/>
      <c r="D94" s="173"/>
      <c r="E94" s="173"/>
      <c r="F94" s="174"/>
      <c r="G94" s="175"/>
      <c r="H94" s="175"/>
      <c r="I94" s="175"/>
      <c r="J94" s="175"/>
      <c r="K94" s="173"/>
    </row>
    <row r="95" spans="2:11" x14ac:dyDescent="0.2">
      <c r="B95" s="171" t="s">
        <v>456</v>
      </c>
      <c r="C95" s="173"/>
      <c r="D95" s="173"/>
      <c r="E95" s="173"/>
      <c r="F95" s="174"/>
      <c r="G95" s="175"/>
      <c r="H95" s="175"/>
      <c r="I95" s="175"/>
      <c r="J95" s="175"/>
      <c r="K95" s="173"/>
    </row>
    <row r="96" spans="2:11" x14ac:dyDescent="0.2">
      <c r="B96" s="171" t="s">
        <v>457</v>
      </c>
      <c r="C96" s="173"/>
      <c r="D96" s="173"/>
      <c r="E96" s="173"/>
      <c r="F96" s="174"/>
      <c r="G96" s="175"/>
      <c r="H96" s="175"/>
      <c r="I96" s="175"/>
      <c r="J96" s="175"/>
      <c r="K96" s="173"/>
    </row>
    <row r="97" spans="2:11" x14ac:dyDescent="0.2">
      <c r="B97" s="171" t="s">
        <v>458</v>
      </c>
      <c r="C97" s="173"/>
      <c r="D97" s="173"/>
      <c r="E97" s="173"/>
      <c r="F97" s="174"/>
      <c r="G97" s="175"/>
      <c r="H97" s="175"/>
      <c r="I97" s="175"/>
      <c r="J97" s="175"/>
      <c r="K97" s="173"/>
    </row>
    <row r="98" spans="2:11" x14ac:dyDescent="0.2">
      <c r="B98" s="171" t="s">
        <v>459</v>
      </c>
      <c r="C98" s="173"/>
      <c r="D98" s="173"/>
      <c r="E98" s="173"/>
      <c r="F98" s="174"/>
      <c r="G98" s="175"/>
      <c r="H98" s="175"/>
      <c r="I98" s="175"/>
      <c r="J98" s="175"/>
      <c r="K98" s="173"/>
    </row>
    <row r="99" spans="2:11" x14ac:dyDescent="0.2">
      <c r="B99" s="171" t="s">
        <v>460</v>
      </c>
      <c r="C99" s="173"/>
      <c r="D99" s="173"/>
      <c r="E99" s="173"/>
      <c r="F99" s="174"/>
      <c r="G99" s="175"/>
      <c r="H99" s="175"/>
      <c r="I99" s="175"/>
      <c r="J99" s="175"/>
      <c r="K99" s="173"/>
    </row>
    <row r="100" spans="2:11" x14ac:dyDescent="0.2">
      <c r="B100" s="171" t="s">
        <v>461</v>
      </c>
      <c r="C100" s="173"/>
      <c r="D100" s="173"/>
      <c r="E100" s="173"/>
      <c r="F100" s="174"/>
      <c r="G100" s="175"/>
      <c r="H100" s="175"/>
      <c r="I100" s="175"/>
      <c r="J100" s="175"/>
      <c r="K100" s="173"/>
    </row>
    <row r="101" spans="2:11" x14ac:dyDescent="0.2">
      <c r="B101" s="171" t="s">
        <v>462</v>
      </c>
      <c r="C101" s="173"/>
      <c r="D101" s="173"/>
      <c r="E101" s="173"/>
      <c r="F101" s="174"/>
      <c r="G101" s="175"/>
      <c r="H101" s="175"/>
      <c r="I101" s="175"/>
      <c r="J101" s="175"/>
      <c r="K101" s="173"/>
    </row>
    <row r="102" spans="2:11" x14ac:dyDescent="0.2">
      <c r="B102" s="171" t="s">
        <v>463</v>
      </c>
      <c r="C102" s="173"/>
      <c r="D102" s="173"/>
      <c r="E102" s="173"/>
      <c r="F102" s="174"/>
      <c r="G102" s="175"/>
      <c r="H102" s="175"/>
      <c r="I102" s="175"/>
      <c r="J102" s="175"/>
      <c r="K102" s="173"/>
    </row>
    <row r="103" spans="2:11" x14ac:dyDescent="0.2">
      <c r="B103" s="171" t="s">
        <v>464</v>
      </c>
      <c r="C103" s="173"/>
      <c r="D103" s="173"/>
      <c r="E103" s="173"/>
      <c r="F103" s="174"/>
      <c r="G103" s="175"/>
      <c r="H103" s="175"/>
      <c r="I103" s="175"/>
      <c r="J103" s="175"/>
      <c r="K103" s="173"/>
    </row>
    <row r="104" spans="2:11" x14ac:dyDescent="0.2">
      <c r="B104" s="171" t="s">
        <v>465</v>
      </c>
      <c r="C104" s="173"/>
      <c r="D104" s="173"/>
      <c r="E104" s="173"/>
      <c r="F104" s="174"/>
      <c r="G104" s="175"/>
      <c r="H104" s="175"/>
      <c r="I104" s="175"/>
      <c r="J104" s="175"/>
      <c r="K104" s="173"/>
    </row>
    <row r="105" spans="2:11" x14ac:dyDescent="0.2">
      <c r="B105" s="171" t="s">
        <v>466</v>
      </c>
      <c r="C105" s="173"/>
      <c r="D105" s="173"/>
      <c r="E105" s="173"/>
      <c r="F105" s="174"/>
      <c r="G105" s="175"/>
      <c r="H105" s="175"/>
      <c r="I105" s="175"/>
      <c r="J105" s="175"/>
      <c r="K105" s="173"/>
    </row>
    <row r="106" spans="2:11" x14ac:dyDescent="0.2">
      <c r="B106" s="171" t="s">
        <v>467</v>
      </c>
      <c r="C106" s="173"/>
      <c r="D106" s="173"/>
      <c r="E106" s="173"/>
      <c r="F106" s="174"/>
      <c r="G106" s="175"/>
      <c r="H106" s="175"/>
      <c r="I106" s="175"/>
      <c r="J106" s="175"/>
      <c r="K106" s="173"/>
    </row>
    <row r="107" spans="2:11" x14ac:dyDescent="0.2">
      <c r="B107" s="171" t="s">
        <v>468</v>
      </c>
      <c r="C107" s="173"/>
      <c r="D107" s="173"/>
      <c r="E107" s="173"/>
      <c r="F107" s="174"/>
      <c r="G107" s="175"/>
      <c r="H107" s="175"/>
      <c r="I107" s="175"/>
      <c r="J107" s="175"/>
      <c r="K107" s="173"/>
    </row>
    <row r="108" spans="2:11" x14ac:dyDescent="0.2">
      <c r="B108" s="171" t="s">
        <v>469</v>
      </c>
      <c r="C108" s="173"/>
      <c r="D108" s="173"/>
      <c r="E108" s="173"/>
      <c r="F108" s="174"/>
      <c r="G108" s="175"/>
      <c r="H108" s="175"/>
      <c r="I108" s="175"/>
      <c r="J108" s="175"/>
      <c r="K108" s="173"/>
    </row>
    <row r="109" spans="2:11" x14ac:dyDescent="0.2">
      <c r="B109" s="171" t="s">
        <v>470</v>
      </c>
      <c r="C109" s="173"/>
      <c r="D109" s="173"/>
      <c r="E109" s="173"/>
      <c r="F109" s="174"/>
      <c r="G109" s="175"/>
      <c r="H109" s="175"/>
      <c r="I109" s="175"/>
      <c r="J109" s="175"/>
      <c r="K109" s="173"/>
    </row>
    <row r="110" spans="2:11" x14ac:dyDescent="0.2">
      <c r="B110" s="171" t="s">
        <v>471</v>
      </c>
      <c r="C110" s="173"/>
      <c r="D110" s="173"/>
      <c r="E110" s="173"/>
      <c r="F110" s="174"/>
      <c r="G110" s="175"/>
      <c r="H110" s="175"/>
      <c r="I110" s="175"/>
      <c r="J110" s="175"/>
      <c r="K110" s="173"/>
    </row>
    <row r="111" spans="2:11" x14ac:dyDescent="0.2">
      <c r="B111" s="171" t="s">
        <v>472</v>
      </c>
      <c r="C111" s="173"/>
      <c r="D111" s="173"/>
      <c r="E111" s="173"/>
      <c r="F111" s="174"/>
      <c r="G111" s="175"/>
      <c r="H111" s="175"/>
      <c r="I111" s="175"/>
      <c r="J111" s="175"/>
      <c r="K111" s="173"/>
    </row>
    <row r="112" spans="2:11" x14ac:dyDescent="0.2">
      <c r="B112" s="171" t="s">
        <v>473</v>
      </c>
      <c r="C112" s="173"/>
      <c r="D112" s="173"/>
      <c r="E112" s="173"/>
      <c r="F112" s="174"/>
      <c r="G112" s="175"/>
      <c r="H112" s="175"/>
      <c r="I112" s="175"/>
      <c r="J112" s="175"/>
      <c r="K112" s="173"/>
    </row>
  </sheetData>
  <sheetProtection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9525</xdr:colOff>
                    <xdr:row>1</xdr:row>
                    <xdr:rowOff>0</xdr:rowOff>
                  </from>
                  <to>
                    <xdr:col>14</xdr:col>
                    <xdr:colOff>704850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defaultColWidth="11.5703125" defaultRowHeight="14.25" x14ac:dyDescent="0.2"/>
  <cols>
    <col min="1" max="1" width="7" style="1" customWidth="1"/>
    <col min="2" max="2" width="13.140625" style="1" customWidth="1"/>
    <col min="3" max="7" width="11.5703125" style="1"/>
    <col min="8" max="8" width="12.28515625" style="1" customWidth="1"/>
    <col min="9" max="16384" width="11.5703125" style="1"/>
  </cols>
  <sheetData>
    <row r="1" spans="2:8" ht="14.45" thickBot="1" x14ac:dyDescent="0.3">
      <c r="B1" s="197" t="s">
        <v>4</v>
      </c>
      <c r="C1" s="198"/>
      <c r="D1" s="198"/>
      <c r="E1" s="198"/>
      <c r="F1" s="198"/>
      <c r="G1" s="198"/>
      <c r="H1" s="199"/>
    </row>
    <row r="2" spans="2:8" ht="13.9" x14ac:dyDescent="0.25">
      <c r="B2" s="97" t="s">
        <v>5</v>
      </c>
      <c r="C2" s="238" t="str">
        <f>Protocole!C2</f>
        <v>Moissenet</v>
      </c>
      <c r="D2" s="238"/>
      <c r="E2" s="238"/>
      <c r="F2" s="238"/>
      <c r="G2" s="238"/>
      <c r="H2" s="239"/>
    </row>
    <row r="3" spans="2:8" ht="15" x14ac:dyDescent="0.25">
      <c r="B3" s="98" t="s">
        <v>6</v>
      </c>
      <c r="C3" s="244" t="str">
        <f>Protocole!C3</f>
        <v>Florent</v>
      </c>
      <c r="D3" s="244"/>
      <c r="E3" s="244"/>
      <c r="F3" s="244"/>
      <c r="G3" s="244"/>
      <c r="H3" s="245"/>
    </row>
    <row r="4" spans="2:8" ht="13.9" x14ac:dyDescent="0.25">
      <c r="B4" s="98" t="s">
        <v>7</v>
      </c>
      <c r="C4" s="244" t="str">
        <f>Protocole!C4</f>
        <v>Homme</v>
      </c>
      <c r="D4" s="244"/>
      <c r="E4" s="244"/>
      <c r="F4" s="244"/>
      <c r="G4" s="244"/>
      <c r="H4" s="245"/>
    </row>
    <row r="5" spans="2:8" ht="13.9" x14ac:dyDescent="0.25">
      <c r="B5" s="98" t="s">
        <v>14</v>
      </c>
      <c r="C5" s="246">
        <f>INT(_xlfn.DAYS(Protocole!C27,Protocole!C5)/365.25)</f>
        <v>35</v>
      </c>
      <c r="D5" s="246"/>
      <c r="E5" s="246"/>
      <c r="F5" s="246"/>
      <c r="G5" s="246"/>
      <c r="H5" s="247"/>
    </row>
    <row r="6" spans="2:8" ht="14.45" thickBot="1" x14ac:dyDescent="0.3">
      <c r="B6" s="99" t="s">
        <v>17</v>
      </c>
      <c r="C6" s="248" t="str">
        <f>Protocole!C10</f>
        <v>Aucune</v>
      </c>
      <c r="D6" s="248"/>
      <c r="E6" s="248"/>
      <c r="F6" s="248"/>
      <c r="G6" s="248"/>
      <c r="H6" s="249"/>
    </row>
    <row r="7" spans="2:8" ht="10.15" customHeight="1" thickBot="1" x14ac:dyDescent="0.3">
      <c r="B7" s="100"/>
      <c r="C7" s="100"/>
      <c r="D7" s="100"/>
      <c r="E7" s="100"/>
      <c r="F7" s="100"/>
      <c r="G7" s="100"/>
      <c r="H7" s="100"/>
    </row>
    <row r="8" spans="2:8" ht="14.45" thickBot="1" x14ac:dyDescent="0.3">
      <c r="B8" s="197" t="s">
        <v>9</v>
      </c>
      <c r="C8" s="198"/>
      <c r="D8" s="198"/>
      <c r="E8" s="198"/>
      <c r="F8" s="198"/>
      <c r="G8" s="198"/>
      <c r="H8" s="199"/>
    </row>
    <row r="9" spans="2:8" ht="15" x14ac:dyDescent="0.25">
      <c r="B9" s="101" t="s">
        <v>1</v>
      </c>
      <c r="C9" s="236" t="str">
        <f>Protocole!C25</f>
        <v>F. Chantraine</v>
      </c>
      <c r="D9" s="236"/>
      <c r="E9" s="236"/>
      <c r="F9" s="236"/>
      <c r="G9" s="236"/>
      <c r="H9" s="237"/>
    </row>
    <row r="10" spans="2:8" ht="15" x14ac:dyDescent="0.25">
      <c r="B10" s="102" t="s">
        <v>10</v>
      </c>
      <c r="C10" s="238" t="str">
        <f>Protocole!C26</f>
        <v>A. Remacle</v>
      </c>
      <c r="D10" s="238"/>
      <c r="E10" s="238"/>
      <c r="F10" s="238"/>
      <c r="G10" s="238"/>
      <c r="H10" s="239"/>
    </row>
    <row r="11" spans="2:8" ht="13.9" x14ac:dyDescent="0.25">
      <c r="B11" s="102" t="s">
        <v>0</v>
      </c>
      <c r="C11" s="240">
        <f>Protocole!C27</f>
        <v>43236</v>
      </c>
      <c r="D11" s="240"/>
      <c r="E11" s="240"/>
      <c r="F11" s="240"/>
      <c r="G11" s="240"/>
      <c r="H11" s="241"/>
    </row>
    <row r="12" spans="2:8" ht="13.9" x14ac:dyDescent="0.25">
      <c r="B12" s="102" t="s">
        <v>11</v>
      </c>
      <c r="C12" s="238" t="str">
        <f>Protocole!C28</f>
        <v>Expertise</v>
      </c>
      <c r="D12" s="238"/>
      <c r="E12" s="238"/>
      <c r="F12" s="238"/>
      <c r="G12" s="238"/>
      <c r="H12" s="239"/>
    </row>
    <row r="13" spans="2:8" ht="76.900000000000006" customHeight="1" thickBot="1" x14ac:dyDescent="0.25">
      <c r="B13" s="103" t="s">
        <v>25</v>
      </c>
      <c r="C13" s="242" t="str">
        <f>Protocole!C29</f>
        <v>Test fiche</v>
      </c>
      <c r="D13" s="242"/>
      <c r="E13" s="242"/>
      <c r="F13" s="242"/>
      <c r="G13" s="242"/>
      <c r="H13" s="243"/>
    </row>
    <row r="14" spans="2:8" ht="10.15" customHeight="1" thickBot="1" x14ac:dyDescent="0.3">
      <c r="B14" s="100"/>
      <c r="C14" s="100"/>
      <c r="D14" s="100"/>
      <c r="E14" s="100"/>
      <c r="F14" s="100"/>
      <c r="G14" s="100"/>
      <c r="H14" s="100"/>
    </row>
    <row r="15" spans="2:8" ht="14.45" thickBot="1" x14ac:dyDescent="0.3">
      <c r="B15" s="197" t="s">
        <v>12</v>
      </c>
      <c r="C15" s="198"/>
      <c r="D15" s="198"/>
      <c r="E15" s="198"/>
      <c r="F15" s="198"/>
      <c r="G15" s="198"/>
      <c r="H15" s="199"/>
    </row>
    <row r="16" spans="2:8" ht="7.9" customHeight="1" x14ac:dyDescent="0.25">
      <c r="B16" s="250"/>
      <c r="C16" s="250"/>
      <c r="D16" s="250"/>
      <c r="E16" s="250"/>
      <c r="F16" s="250"/>
      <c r="G16" s="250"/>
      <c r="H16" s="250"/>
    </row>
    <row r="17" spans="2:8" ht="15" x14ac:dyDescent="0.2">
      <c r="B17" s="235" t="s">
        <v>13</v>
      </c>
      <c r="C17" s="235"/>
      <c r="D17" s="235"/>
      <c r="E17" s="235"/>
      <c r="F17" s="235"/>
      <c r="G17" s="235"/>
      <c r="H17" s="235"/>
    </row>
    <row r="18" spans="2:8" x14ac:dyDescent="0.2">
      <c r="B18" s="252" t="s">
        <v>39</v>
      </c>
      <c r="C18" s="253"/>
      <c r="D18" s="253"/>
      <c r="E18" s="253"/>
      <c r="F18" s="254"/>
      <c r="G18" s="104" t="s">
        <v>15</v>
      </c>
      <c r="H18" s="104" t="s">
        <v>43</v>
      </c>
    </row>
    <row r="19" spans="2:8" ht="13.9" x14ac:dyDescent="0.25">
      <c r="B19" s="255" t="str">
        <f>'Evidence (0)'!C3</f>
        <v>NA</v>
      </c>
      <c r="C19" s="256"/>
      <c r="D19" s="256"/>
      <c r="E19" s="256"/>
      <c r="F19" s="257"/>
      <c r="G19" s="105">
        <f>'Evidence (0)'!F3</f>
        <v>0</v>
      </c>
      <c r="H19" s="105">
        <f>'Evidence (0)'!H3</f>
        <v>0</v>
      </c>
    </row>
    <row r="20" spans="2:8" ht="13.9" x14ac:dyDescent="0.25">
      <c r="B20" s="255" t="str">
        <f>'Evidence (0)'!C28</f>
        <v>NA</v>
      </c>
      <c r="C20" s="256"/>
      <c r="D20" s="256"/>
      <c r="E20" s="256"/>
      <c r="F20" s="257"/>
      <c r="G20" s="105">
        <f>'Evidence (0)'!F28</f>
        <v>0</v>
      </c>
      <c r="H20" s="105">
        <f>'Evidence (0)'!H28</f>
        <v>0</v>
      </c>
    </row>
    <row r="21" spans="2:8" ht="13.9" x14ac:dyDescent="0.25">
      <c r="B21" s="255" t="str">
        <f>'Evidence (1)'!C3</f>
        <v>NA</v>
      </c>
      <c r="C21" s="256"/>
      <c r="D21" s="256"/>
      <c r="E21" s="256"/>
      <c r="F21" s="257"/>
      <c r="G21" s="105">
        <f>'Evidence (1)'!F3</f>
        <v>0</v>
      </c>
      <c r="H21" s="105">
        <f>'Evidence (1)'!H3</f>
        <v>0</v>
      </c>
    </row>
    <row r="22" spans="2:8" ht="13.9" x14ac:dyDescent="0.25">
      <c r="B22" s="255" t="str">
        <f>'Evidence (1)'!C28</f>
        <v>NA</v>
      </c>
      <c r="C22" s="256"/>
      <c r="D22" s="256"/>
      <c r="E22" s="256"/>
      <c r="F22" s="257"/>
      <c r="G22" s="105">
        <v>0</v>
      </c>
      <c r="H22" s="105">
        <v>0</v>
      </c>
    </row>
    <row r="23" spans="2:8" ht="13.9" x14ac:dyDescent="0.25">
      <c r="B23" s="255" t="str">
        <f>'Evidence (2)'!C3</f>
        <v>NA</v>
      </c>
      <c r="C23" s="256"/>
      <c r="D23" s="256"/>
      <c r="E23" s="256"/>
      <c r="F23" s="257"/>
      <c r="G23" s="105">
        <f>'Evidence (2)'!F3</f>
        <v>0</v>
      </c>
      <c r="H23" s="105">
        <f>'Evidence (2)'!H3</f>
        <v>0</v>
      </c>
    </row>
    <row r="24" spans="2:8" ht="13.9" x14ac:dyDescent="0.25">
      <c r="B24" s="255" t="str">
        <f>'Evidence (2)'!C28</f>
        <v>NA</v>
      </c>
      <c r="C24" s="256"/>
      <c r="D24" s="256"/>
      <c r="E24" s="256"/>
      <c r="F24" s="257"/>
      <c r="G24" s="105">
        <f>'Evidence (2)'!F28</f>
        <v>0</v>
      </c>
      <c r="H24" s="105">
        <f>'Evidence (2)'!H28</f>
        <v>0</v>
      </c>
    </row>
    <row r="25" spans="2:8" ht="7.9" customHeight="1" x14ac:dyDescent="0.25">
      <c r="B25" s="259"/>
      <c r="C25" s="259"/>
      <c r="D25" s="259"/>
      <c r="E25" s="259"/>
      <c r="F25" s="259"/>
      <c r="G25" s="259"/>
      <c r="H25" s="259"/>
    </row>
    <row r="26" spans="2:8" ht="13.9" x14ac:dyDescent="0.25">
      <c r="B26" s="190" t="s">
        <v>23</v>
      </c>
      <c r="C26" s="190"/>
      <c r="D26" s="190"/>
      <c r="E26" s="190"/>
      <c r="F26" s="190"/>
      <c r="G26" s="190"/>
      <c r="H26" s="190"/>
    </row>
    <row r="27" spans="2:8" ht="169.9" customHeight="1" x14ac:dyDescent="0.25">
      <c r="B27" s="258"/>
      <c r="C27" s="258"/>
      <c r="D27" s="258"/>
      <c r="E27" s="258"/>
      <c r="F27" s="258"/>
      <c r="G27" s="258"/>
      <c r="H27" s="258"/>
    </row>
    <row r="28" spans="2:8" ht="10.15" customHeight="1" x14ac:dyDescent="0.2"/>
    <row r="29" spans="2:8" x14ac:dyDescent="0.2">
      <c r="B29" s="6" t="s">
        <v>24</v>
      </c>
      <c r="C29" s="7"/>
      <c r="D29" s="7"/>
      <c r="E29" s="7"/>
      <c r="F29" s="7"/>
      <c r="G29" s="7"/>
      <c r="H29" s="7"/>
    </row>
    <row r="30" spans="2:8" ht="82.9" customHeight="1" x14ac:dyDescent="0.2">
      <c r="B30" s="251" t="s">
        <v>408</v>
      </c>
      <c r="C30" s="251"/>
      <c r="D30" s="251"/>
      <c r="E30" s="251"/>
      <c r="F30" s="251"/>
      <c r="G30" s="251"/>
      <c r="H30" s="251"/>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defaultColWidth="11.5703125" defaultRowHeight="14.25" x14ac:dyDescent="0.2"/>
  <cols>
    <col min="1" max="1" width="7" style="1" customWidth="1"/>
    <col min="2" max="2" width="18.28515625" style="1" customWidth="1"/>
    <col min="3" max="3" width="8.140625" style="1" customWidth="1"/>
    <col min="4" max="4" width="7.42578125" style="1" customWidth="1"/>
    <col min="5" max="5" width="11.5703125" style="1"/>
    <col min="6" max="6" width="16.28515625" style="1" customWidth="1"/>
    <col min="7" max="7" width="7.28515625" style="1" customWidth="1"/>
    <col min="8" max="8" width="13.85546875" style="1" customWidth="1"/>
    <col min="9" max="16384" width="11.5703125" style="1"/>
  </cols>
  <sheetData>
    <row r="1" spans="2:8" ht="14.45" thickBot="1" x14ac:dyDescent="0.3">
      <c r="B1" s="264" t="s">
        <v>3</v>
      </c>
      <c r="C1" s="265"/>
      <c r="D1" s="265"/>
      <c r="E1" s="265"/>
      <c r="F1" s="265"/>
      <c r="G1" s="265"/>
      <c r="H1" s="266"/>
    </row>
    <row r="2" spans="2:8" ht="7.9" customHeight="1" x14ac:dyDescent="0.25">
      <c r="B2" s="10"/>
      <c r="C2" s="11"/>
      <c r="D2" s="11"/>
      <c r="E2" s="11"/>
      <c r="F2" s="11"/>
      <c r="G2" s="11"/>
      <c r="H2" s="11"/>
    </row>
    <row r="3" spans="2:8" ht="98.45" customHeight="1" x14ac:dyDescent="0.25">
      <c r="B3" s="8" t="s">
        <v>66</v>
      </c>
      <c r="C3" s="258"/>
      <c r="D3" s="258"/>
      <c r="E3" s="258"/>
      <c r="F3" s="258"/>
      <c r="G3" s="258"/>
      <c r="H3" s="258"/>
    </row>
    <row r="4" spans="2:8" ht="13.9" customHeight="1" x14ac:dyDescent="0.2">
      <c r="B4" s="271" t="s">
        <v>27</v>
      </c>
      <c r="C4" s="274" t="str">
        <f>Protocole!C17</f>
        <v>test traitement 1</v>
      </c>
      <c r="D4" s="275"/>
      <c r="E4" s="275"/>
      <c r="F4" s="276"/>
      <c r="G4" s="106" t="s">
        <v>28</v>
      </c>
      <c r="H4" s="177">
        <f>Protocole!I17</f>
        <v>30404</v>
      </c>
    </row>
    <row r="5" spans="2:8" ht="15" x14ac:dyDescent="0.2">
      <c r="B5" s="272"/>
      <c r="C5" s="274" t="str">
        <f>Protocole!C18</f>
        <v>NA</v>
      </c>
      <c r="D5" s="275"/>
      <c r="E5" s="275"/>
      <c r="F5" s="276"/>
      <c r="G5" s="106" t="s">
        <v>28</v>
      </c>
      <c r="H5" s="177">
        <f>Protocole!I18</f>
        <v>0</v>
      </c>
    </row>
    <row r="6" spans="2:8" ht="15" x14ac:dyDescent="0.2">
      <c r="B6" s="272"/>
      <c r="C6" s="274" t="str">
        <f>Protocole!C19</f>
        <v>NA</v>
      </c>
      <c r="D6" s="275"/>
      <c r="E6" s="275"/>
      <c r="F6" s="276"/>
      <c r="G6" s="106" t="s">
        <v>28</v>
      </c>
      <c r="H6" s="177">
        <f>Protocole!I19</f>
        <v>0</v>
      </c>
    </row>
    <row r="7" spans="2:8" ht="15" x14ac:dyDescent="0.2">
      <c r="B7" s="272"/>
      <c r="C7" s="274" t="str">
        <f>Protocole!C20</f>
        <v>NA</v>
      </c>
      <c r="D7" s="275"/>
      <c r="E7" s="275"/>
      <c r="F7" s="276"/>
      <c r="G7" s="106" t="s">
        <v>28</v>
      </c>
      <c r="H7" s="177">
        <f>Protocole!I20</f>
        <v>0</v>
      </c>
    </row>
    <row r="8" spans="2:8" ht="15" x14ac:dyDescent="0.2">
      <c r="B8" s="272"/>
      <c r="C8" s="274" t="str">
        <f>Protocole!C21</f>
        <v>NA</v>
      </c>
      <c r="D8" s="275"/>
      <c r="E8" s="275"/>
      <c r="F8" s="276"/>
      <c r="G8" s="106" t="s">
        <v>28</v>
      </c>
      <c r="H8" s="177">
        <f>Protocole!I21</f>
        <v>0</v>
      </c>
    </row>
    <row r="9" spans="2:8" ht="15" x14ac:dyDescent="0.2">
      <c r="B9" s="273"/>
      <c r="C9" s="274" t="str">
        <f>Protocole!C22</f>
        <v>test traitement 5</v>
      </c>
      <c r="D9" s="275"/>
      <c r="E9" s="275"/>
      <c r="F9" s="276"/>
      <c r="G9" s="106" t="s">
        <v>28</v>
      </c>
      <c r="H9" s="177">
        <f>Protocole!I22</f>
        <v>43188</v>
      </c>
    </row>
    <row r="10" spans="2:8" ht="7.9" customHeight="1" x14ac:dyDescent="0.25"/>
    <row r="11" spans="2:8" ht="13.9" x14ac:dyDescent="0.25">
      <c r="B11" s="9" t="s">
        <v>31</v>
      </c>
      <c r="C11" s="268">
        <f>Protocole!C7</f>
        <v>166</v>
      </c>
      <c r="D11" s="268"/>
      <c r="E11" s="267" t="s">
        <v>61</v>
      </c>
      <c r="F11" s="267"/>
      <c r="G11" s="263"/>
      <c r="H11" s="263"/>
    </row>
    <row r="12" spans="2:8" ht="13.9" x14ac:dyDescent="0.25">
      <c r="B12" s="9" t="s">
        <v>32</v>
      </c>
      <c r="C12" s="268">
        <f>Protocole!C6</f>
        <v>66</v>
      </c>
      <c r="D12" s="268"/>
      <c r="E12" s="269" t="s">
        <v>62</v>
      </c>
      <c r="F12" s="270"/>
      <c r="G12" s="263"/>
      <c r="H12" s="263"/>
    </row>
    <row r="13" spans="2:8" ht="13.9" x14ac:dyDescent="0.25">
      <c r="B13" s="9" t="s">
        <v>369</v>
      </c>
      <c r="C13" s="268">
        <f>C12/(C11/100*C11/100)</f>
        <v>23.951226593119468</v>
      </c>
      <c r="D13" s="268"/>
      <c r="E13" s="267" t="s">
        <v>29</v>
      </c>
      <c r="F13" s="267"/>
      <c r="G13" s="263"/>
      <c r="H13" s="263"/>
    </row>
    <row r="14" spans="2:8" ht="13.9" x14ac:dyDescent="0.25">
      <c r="B14" s="5" t="s">
        <v>33</v>
      </c>
      <c r="C14" s="188"/>
      <c r="D14" s="188"/>
      <c r="E14" s="4" t="s">
        <v>30</v>
      </c>
      <c r="F14" s="4"/>
      <c r="G14" s="263"/>
      <c r="H14" s="263"/>
    </row>
    <row r="15" spans="2:8" ht="7.9" customHeight="1" x14ac:dyDescent="0.25"/>
    <row r="16" spans="2:8" ht="124.9" customHeight="1" x14ac:dyDescent="0.25">
      <c r="B16" s="8" t="s">
        <v>34</v>
      </c>
      <c r="C16" s="258"/>
      <c r="D16" s="258"/>
      <c r="E16" s="258"/>
      <c r="F16" s="258"/>
      <c r="G16" s="258"/>
      <c r="H16" s="258"/>
    </row>
    <row r="17" spans="2:8" ht="14.45" thickBot="1" x14ac:dyDescent="0.3"/>
    <row r="18" spans="2:8" ht="15" customHeight="1" thickBot="1" x14ac:dyDescent="0.25">
      <c r="B18" s="264" t="s">
        <v>35</v>
      </c>
      <c r="C18" s="265"/>
      <c r="D18" s="265"/>
      <c r="E18" s="265"/>
      <c r="F18" s="265"/>
      <c r="G18" s="265"/>
      <c r="H18" s="266"/>
    </row>
    <row r="19" spans="2:8" ht="7.9" customHeight="1" x14ac:dyDescent="0.25">
      <c r="B19" s="10"/>
      <c r="C19" s="11"/>
      <c r="D19" s="11"/>
      <c r="E19" s="11"/>
      <c r="F19" s="11"/>
      <c r="G19" s="11"/>
      <c r="H19" s="11"/>
    </row>
    <row r="20" spans="2:8" ht="30" customHeight="1" x14ac:dyDescent="0.2">
      <c r="B20" s="260" t="s">
        <v>36</v>
      </c>
      <c r="C20" s="261"/>
      <c r="D20" s="261"/>
      <c r="E20" s="261"/>
      <c r="F20" s="261"/>
      <c r="G20" s="261"/>
      <c r="H20" s="262"/>
    </row>
    <row r="21" spans="2:8" ht="45" customHeight="1" x14ac:dyDescent="0.25">
      <c r="B21" s="188"/>
      <c r="C21" s="188"/>
      <c r="D21" s="188"/>
      <c r="E21" s="188"/>
      <c r="F21" s="188"/>
      <c r="G21" s="188"/>
      <c r="H21" s="188"/>
    </row>
    <row r="22" spans="2:8" ht="7.9" customHeight="1" x14ac:dyDescent="0.25"/>
    <row r="23" spans="2:8" ht="30" customHeight="1" x14ac:dyDescent="0.2">
      <c r="B23" s="260" t="s">
        <v>37</v>
      </c>
      <c r="C23" s="261"/>
      <c r="D23" s="261"/>
      <c r="E23" s="261"/>
      <c r="F23" s="261"/>
      <c r="G23" s="261"/>
      <c r="H23" s="262"/>
    </row>
    <row r="24" spans="2:8" ht="45" customHeight="1" x14ac:dyDescent="0.2">
      <c r="B24" s="188"/>
      <c r="C24" s="188"/>
      <c r="D24" s="188"/>
      <c r="E24" s="188"/>
      <c r="F24" s="188"/>
      <c r="G24" s="188"/>
      <c r="H24" s="188"/>
    </row>
    <row r="25" spans="2:8" ht="7.9" customHeight="1" x14ac:dyDescent="0.2"/>
    <row r="26" spans="2:8" ht="30" customHeight="1" x14ac:dyDescent="0.2">
      <c r="B26" s="260" t="s">
        <v>38</v>
      </c>
      <c r="C26" s="261"/>
      <c r="D26" s="261"/>
      <c r="E26" s="261"/>
      <c r="F26" s="261"/>
      <c r="G26" s="261"/>
      <c r="H26" s="262"/>
    </row>
    <row r="27" spans="2:8" ht="45" customHeight="1" x14ac:dyDescent="0.2">
      <c r="B27" s="188"/>
      <c r="C27" s="188"/>
      <c r="D27" s="188"/>
      <c r="E27" s="188"/>
      <c r="F27" s="188"/>
      <c r="G27" s="188"/>
      <c r="H27" s="188"/>
    </row>
  </sheetData>
  <sheetProtection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ht="13.9" x14ac:dyDescent="0.25">
      <c r="B44" s="140"/>
      <c r="C44" s="141"/>
      <c r="D44" s="142"/>
      <c r="E44" s="142"/>
      <c r="F44" s="258"/>
      <c r="G44" s="258"/>
      <c r="H44" s="284"/>
    </row>
    <row r="45" spans="2:8" ht="13.9" x14ac:dyDescent="0.25">
      <c r="B45" s="140"/>
      <c r="C45" s="141"/>
      <c r="D45" s="142"/>
      <c r="E45" s="142"/>
      <c r="F45" s="258"/>
      <c r="G45" s="258"/>
      <c r="H45" s="284"/>
    </row>
    <row r="46" spans="2:8" ht="13.9" x14ac:dyDescent="0.25">
      <c r="B46" s="140"/>
      <c r="C46" s="141"/>
      <c r="D46" s="142"/>
      <c r="E46" s="142"/>
      <c r="F46" s="258"/>
      <c r="G46" s="258"/>
      <c r="H46" s="284"/>
    </row>
    <row r="47" spans="2:8" ht="7.9" customHeight="1" x14ac:dyDescent="0.25">
      <c r="B47" s="129"/>
      <c r="C47" s="130"/>
      <c r="D47" s="130"/>
      <c r="E47" s="130"/>
      <c r="F47" s="130"/>
      <c r="G47" s="130"/>
      <c r="H47" s="131"/>
    </row>
    <row r="48" spans="2:8" ht="15" x14ac:dyDescent="0.2">
      <c r="B48" s="279" t="s">
        <v>51</v>
      </c>
      <c r="C48" s="280"/>
      <c r="D48" s="280"/>
      <c r="E48" s="280"/>
      <c r="F48" s="280"/>
      <c r="G48" s="280"/>
      <c r="H48" s="281"/>
    </row>
    <row r="49" spans="2:8" ht="14.45" x14ac:dyDescent="0.3">
      <c r="B49" s="135" t="s">
        <v>2</v>
      </c>
      <c r="C49" s="285" t="s">
        <v>52</v>
      </c>
      <c r="D49" s="285"/>
      <c r="E49" s="285"/>
      <c r="F49" s="282" t="s">
        <v>8</v>
      </c>
      <c r="G49" s="282"/>
      <c r="H49" s="283"/>
    </row>
    <row r="50" spans="2:8" ht="13.9" x14ac:dyDescent="0.25">
      <c r="B50" s="144"/>
      <c r="C50" s="288"/>
      <c r="D50" s="288"/>
      <c r="E50" s="288"/>
      <c r="F50" s="286"/>
      <c r="G50" s="286"/>
      <c r="H50" s="287"/>
    </row>
    <row r="51" spans="2:8" ht="7.9"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ht="13.9" x14ac:dyDescent="0.25">
      <c r="B44" s="140"/>
      <c r="C44" s="141"/>
      <c r="D44" s="142"/>
      <c r="E44" s="142"/>
      <c r="F44" s="258"/>
      <c r="G44" s="258"/>
      <c r="H44" s="284"/>
    </row>
    <row r="45" spans="2:8" ht="13.9" x14ac:dyDescent="0.25">
      <c r="B45" s="140"/>
      <c r="C45" s="141"/>
      <c r="D45" s="142"/>
      <c r="E45" s="142"/>
      <c r="F45" s="258"/>
      <c r="G45" s="258"/>
      <c r="H45" s="284"/>
    </row>
    <row r="46" spans="2:8" ht="13.9" x14ac:dyDescent="0.25">
      <c r="B46" s="140"/>
      <c r="C46" s="141"/>
      <c r="D46" s="142"/>
      <c r="E46" s="142"/>
      <c r="F46" s="258"/>
      <c r="G46" s="258"/>
      <c r="H46" s="284"/>
    </row>
    <row r="47" spans="2:8" ht="7.9" customHeight="1" x14ac:dyDescent="0.25">
      <c r="B47" s="129"/>
      <c r="C47" s="130"/>
      <c r="D47" s="130"/>
      <c r="E47" s="130"/>
      <c r="F47" s="130"/>
      <c r="G47" s="130"/>
      <c r="H47" s="131"/>
    </row>
    <row r="48" spans="2:8" ht="15" x14ac:dyDescent="0.2">
      <c r="B48" s="279" t="s">
        <v>51</v>
      </c>
      <c r="C48" s="280"/>
      <c r="D48" s="280"/>
      <c r="E48" s="280"/>
      <c r="F48" s="280"/>
      <c r="G48" s="280"/>
      <c r="H48" s="281"/>
    </row>
    <row r="49" spans="2:8" ht="14.45" x14ac:dyDescent="0.3">
      <c r="B49" s="135" t="s">
        <v>2</v>
      </c>
      <c r="C49" s="285" t="s">
        <v>52</v>
      </c>
      <c r="D49" s="285"/>
      <c r="E49" s="285"/>
      <c r="F49" s="282" t="s">
        <v>8</v>
      </c>
      <c r="G49" s="282"/>
      <c r="H49" s="283"/>
    </row>
    <row r="50" spans="2:8" ht="13.9" x14ac:dyDescent="0.25">
      <c r="B50" s="144"/>
      <c r="C50" s="288"/>
      <c r="D50" s="288"/>
      <c r="E50" s="288"/>
      <c r="F50" s="286"/>
      <c r="G50" s="286"/>
      <c r="H50" s="287"/>
    </row>
    <row r="51" spans="2:8" ht="7.9"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ht="13.9" x14ac:dyDescent="0.25">
      <c r="B44" s="140"/>
      <c r="C44" s="141"/>
      <c r="D44" s="142"/>
      <c r="E44" s="142"/>
      <c r="F44" s="258"/>
      <c r="G44" s="258"/>
      <c r="H44" s="284"/>
    </row>
    <row r="45" spans="2:8" ht="13.9" x14ac:dyDescent="0.25">
      <c r="B45" s="140"/>
      <c r="C45" s="141"/>
      <c r="D45" s="142"/>
      <c r="E45" s="142"/>
      <c r="F45" s="258"/>
      <c r="G45" s="258"/>
      <c r="H45" s="284"/>
    </row>
    <row r="46" spans="2:8" ht="13.9" x14ac:dyDescent="0.25">
      <c r="B46" s="140"/>
      <c r="C46" s="141"/>
      <c r="D46" s="142"/>
      <c r="E46" s="142"/>
      <c r="F46" s="258"/>
      <c r="G46" s="258"/>
      <c r="H46" s="284"/>
    </row>
    <row r="47" spans="2:8" ht="7.9" customHeight="1" x14ac:dyDescent="0.25">
      <c r="B47" s="129"/>
      <c r="C47" s="130"/>
      <c r="D47" s="130"/>
      <c r="E47" s="130"/>
      <c r="F47" s="130"/>
      <c r="G47" s="130"/>
      <c r="H47" s="131"/>
    </row>
    <row r="48" spans="2:8" ht="15" x14ac:dyDescent="0.2">
      <c r="B48" s="279" t="s">
        <v>51</v>
      </c>
      <c r="C48" s="280"/>
      <c r="D48" s="280"/>
      <c r="E48" s="280"/>
      <c r="F48" s="280"/>
      <c r="G48" s="280"/>
      <c r="H48" s="281"/>
    </row>
    <row r="49" spans="2:8" ht="14.45" x14ac:dyDescent="0.3">
      <c r="B49" s="135" t="s">
        <v>2</v>
      </c>
      <c r="C49" s="285" t="s">
        <v>52</v>
      </c>
      <c r="D49" s="285"/>
      <c r="E49" s="285"/>
      <c r="F49" s="282" t="s">
        <v>8</v>
      </c>
      <c r="G49" s="282"/>
      <c r="H49" s="283"/>
    </row>
    <row r="50" spans="2:8" ht="13.9" x14ac:dyDescent="0.25">
      <c r="B50" s="144"/>
      <c r="C50" s="288"/>
      <c r="D50" s="288"/>
      <c r="E50" s="288"/>
      <c r="F50" s="286"/>
      <c r="G50" s="286"/>
      <c r="H50" s="287"/>
    </row>
    <row r="51" spans="2:8" ht="7.9"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defaultColWidth="11.5703125" defaultRowHeight="14.25" x14ac:dyDescent="0.2"/>
  <cols>
    <col min="1" max="1" width="7" style="1" customWidth="1"/>
    <col min="2" max="2" width="4.85546875" style="1" customWidth="1"/>
    <col min="3" max="3" width="20.7109375" style="1" customWidth="1"/>
    <col min="4" max="4" width="1.7109375" style="1" customWidth="1"/>
    <col min="5" max="5" width="4.85546875" style="1" customWidth="1"/>
    <col min="6" max="6" width="21.28515625" style="1" customWidth="1"/>
    <col min="7" max="7" width="4.85546875" style="1" customWidth="1"/>
    <col min="8" max="8" width="24.28515625" style="1" customWidth="1"/>
    <col min="9" max="16384" width="11.5703125" style="1"/>
  </cols>
  <sheetData>
    <row r="1" spans="1:8" ht="15" customHeight="1" thickBot="1" x14ac:dyDescent="0.25">
      <c r="B1" s="264" t="s">
        <v>77</v>
      </c>
      <c r="C1" s="265"/>
      <c r="D1" s="265"/>
      <c r="E1" s="265"/>
      <c r="F1" s="265"/>
      <c r="G1" s="265"/>
      <c r="H1" s="266"/>
    </row>
    <row r="2" spans="1:8" ht="7.9" customHeight="1" x14ac:dyDescent="0.25">
      <c r="B2" s="10"/>
      <c r="C2" s="11"/>
      <c r="D2" s="11"/>
      <c r="E2" s="11"/>
      <c r="F2" s="12"/>
      <c r="G2" s="11"/>
      <c r="H2" s="11"/>
    </row>
    <row r="3" spans="1:8" ht="15" x14ac:dyDescent="0.25">
      <c r="A3" s="15"/>
      <c r="B3" s="14" t="s">
        <v>78</v>
      </c>
    </row>
    <row r="4" spans="1:8" ht="7.9" customHeight="1" thickBot="1" x14ac:dyDescent="0.25">
      <c r="A4" s="15"/>
      <c r="B4" s="29"/>
      <c r="C4" s="29"/>
      <c r="D4" s="29"/>
      <c r="E4" s="29"/>
      <c r="F4" s="29"/>
      <c r="G4" s="29"/>
      <c r="H4" s="29"/>
    </row>
    <row r="5" spans="1:8" ht="13.9" customHeight="1" thickTop="1" x14ac:dyDescent="0.2">
      <c r="A5" s="15"/>
      <c r="B5" s="295"/>
      <c r="C5" s="31" t="s">
        <v>79</v>
      </c>
      <c r="D5" s="32"/>
      <c r="E5" s="295"/>
      <c r="F5" s="31" t="s">
        <v>90</v>
      </c>
      <c r="G5" s="32"/>
      <c r="H5" s="291" t="s">
        <v>106</v>
      </c>
    </row>
    <row r="6" spans="1:8" x14ac:dyDescent="0.2">
      <c r="A6" s="15"/>
      <c r="B6" s="296"/>
      <c r="C6" s="16" t="s">
        <v>80</v>
      </c>
      <c r="D6" s="2"/>
      <c r="E6" s="296"/>
      <c r="F6" s="16" t="s">
        <v>80</v>
      </c>
      <c r="G6" s="2"/>
      <c r="H6" s="292"/>
    </row>
    <row r="7" spans="1:8" ht="13.9" customHeight="1" x14ac:dyDescent="0.2">
      <c r="A7" s="15"/>
      <c r="B7" s="293"/>
      <c r="C7" s="25" t="s">
        <v>81</v>
      </c>
      <c r="D7" s="26"/>
      <c r="E7" s="297"/>
      <c r="F7" s="25" t="s">
        <v>101</v>
      </c>
      <c r="G7" s="26"/>
      <c r="H7" s="289" t="s">
        <v>406</v>
      </c>
    </row>
    <row r="8" spans="1:8" ht="13.9" customHeight="1" x14ac:dyDescent="0.2">
      <c r="A8" s="15"/>
      <c r="B8" s="294"/>
      <c r="C8" s="27" t="s">
        <v>82</v>
      </c>
      <c r="D8" s="28"/>
      <c r="E8" s="298"/>
      <c r="F8" s="27" t="s">
        <v>82</v>
      </c>
      <c r="G8" s="28"/>
      <c r="H8" s="290"/>
    </row>
    <row r="9" spans="1:8" ht="13.9" customHeight="1" x14ac:dyDescent="0.2">
      <c r="A9" s="15"/>
      <c r="B9" s="16"/>
      <c r="C9" s="16" t="s">
        <v>83</v>
      </c>
      <c r="D9" s="2"/>
      <c r="E9" s="2"/>
      <c r="F9" s="16" t="s">
        <v>102</v>
      </c>
      <c r="G9" s="2"/>
      <c r="H9" s="116" t="s">
        <v>107</v>
      </c>
    </row>
    <row r="10" spans="1:8" ht="14.45" customHeight="1" x14ac:dyDescent="0.2">
      <c r="A10" s="15"/>
      <c r="B10" s="33"/>
      <c r="C10" s="33" t="s">
        <v>84</v>
      </c>
      <c r="D10" s="34"/>
      <c r="E10" s="34"/>
      <c r="F10" s="33" t="s">
        <v>105</v>
      </c>
      <c r="G10" s="34"/>
      <c r="H10" s="117" t="s">
        <v>108</v>
      </c>
    </row>
    <row r="11" spans="1:8" ht="30" customHeight="1" x14ac:dyDescent="0.2">
      <c r="B11" s="16"/>
      <c r="C11" s="16" t="s">
        <v>85</v>
      </c>
      <c r="D11" s="2"/>
      <c r="E11" s="2"/>
      <c r="F11" s="16" t="s">
        <v>103</v>
      </c>
      <c r="G11" s="2"/>
      <c r="H11" s="116" t="s">
        <v>407</v>
      </c>
    </row>
    <row r="12" spans="1:8" ht="25.9" customHeight="1" x14ac:dyDescent="0.2">
      <c r="A12" s="15"/>
      <c r="B12" s="33"/>
      <c r="C12" s="35" t="s">
        <v>86</v>
      </c>
      <c r="D12" s="34"/>
      <c r="E12" s="34"/>
      <c r="F12" s="33" t="s">
        <v>104</v>
      </c>
      <c r="G12" s="34"/>
      <c r="H12" s="118" t="s">
        <v>109</v>
      </c>
    </row>
    <row r="13" spans="1:8" ht="25.9" customHeight="1" x14ac:dyDescent="0.2">
      <c r="A13" s="15"/>
      <c r="B13" s="16"/>
      <c r="C13" s="16" t="s">
        <v>87</v>
      </c>
      <c r="D13" s="2"/>
      <c r="E13" s="2"/>
      <c r="F13" s="16"/>
      <c r="G13" s="2"/>
      <c r="H13" s="119" t="s">
        <v>110</v>
      </c>
    </row>
    <row r="14" spans="1:8" ht="25.9" customHeight="1" x14ac:dyDescent="0.2">
      <c r="A14" s="15"/>
      <c r="B14" s="33"/>
      <c r="C14" s="33" t="s">
        <v>88</v>
      </c>
      <c r="D14" s="34"/>
      <c r="E14" s="34"/>
      <c r="F14" s="33"/>
      <c r="G14" s="34"/>
      <c r="H14" s="118" t="s">
        <v>406</v>
      </c>
    </row>
    <row r="15" spans="1:8" ht="21.6" customHeight="1" thickBot="1" x14ac:dyDescent="0.25">
      <c r="A15" s="15"/>
      <c r="B15" s="30"/>
      <c r="C15" s="30" t="s">
        <v>89</v>
      </c>
      <c r="D15" s="29"/>
      <c r="E15" s="29"/>
      <c r="F15" s="30"/>
      <c r="G15" s="29"/>
      <c r="H15" s="120" t="s">
        <v>111</v>
      </c>
    </row>
    <row r="16" spans="1:8" ht="10.15" customHeight="1" thickTop="1" x14ac:dyDescent="0.2">
      <c r="A16" s="15"/>
    </row>
    <row r="17" spans="1:8" ht="15" x14ac:dyDescent="0.25">
      <c r="A17" s="15"/>
      <c r="B17" s="14" t="s">
        <v>112</v>
      </c>
    </row>
    <row r="18" spans="1:8" ht="7.9" customHeight="1" x14ac:dyDescent="0.2">
      <c r="A18" s="15"/>
    </row>
    <row r="19" spans="1:8" x14ac:dyDescent="0.2">
      <c r="A19" s="15"/>
      <c r="B19" s="299" t="s">
        <v>127</v>
      </c>
      <c r="C19" s="299"/>
      <c r="G19" s="299" t="s">
        <v>151</v>
      </c>
      <c r="H19" s="299"/>
    </row>
    <row r="20" spans="1:8" ht="13.9" customHeight="1" x14ac:dyDescent="0.25">
      <c r="B20" s="23">
        <v>0</v>
      </c>
      <c r="C20" s="292" t="s">
        <v>113</v>
      </c>
      <c r="D20" s="292"/>
      <c r="E20" s="292"/>
      <c r="F20" s="292"/>
      <c r="G20" s="23">
        <v>0</v>
      </c>
      <c r="H20" s="36" t="s">
        <v>119</v>
      </c>
    </row>
    <row r="21" spans="1:8" ht="13.9" customHeight="1" x14ac:dyDescent="0.2">
      <c r="A21" s="15"/>
      <c r="B21" s="23">
        <v>1</v>
      </c>
      <c r="C21" s="292" t="s">
        <v>114</v>
      </c>
      <c r="D21" s="292"/>
      <c r="E21" s="292"/>
      <c r="F21" s="292"/>
      <c r="G21" s="23">
        <v>1</v>
      </c>
      <c r="H21" s="36" t="s">
        <v>121</v>
      </c>
    </row>
    <row r="22" spans="1:8" x14ac:dyDescent="0.2">
      <c r="A22" s="15"/>
      <c r="B22" s="23">
        <v>2</v>
      </c>
      <c r="C22" s="292" t="s">
        <v>115</v>
      </c>
      <c r="D22" s="292"/>
      <c r="E22" s="292"/>
      <c r="F22" s="292"/>
      <c r="G22" s="23">
        <v>2</v>
      </c>
      <c r="H22" s="36" t="s">
        <v>120</v>
      </c>
    </row>
    <row r="23" spans="1:8" x14ac:dyDescent="0.2">
      <c r="A23" s="15"/>
      <c r="B23" s="23">
        <v>3</v>
      </c>
      <c r="C23" s="292" t="s">
        <v>117</v>
      </c>
      <c r="D23" s="292"/>
      <c r="E23" s="292"/>
      <c r="F23" s="292"/>
    </row>
    <row r="24" spans="1:8" x14ac:dyDescent="0.2">
      <c r="A24" s="15"/>
      <c r="B24" s="23">
        <v>4</v>
      </c>
      <c r="C24" s="292" t="s">
        <v>116</v>
      </c>
      <c r="D24" s="292"/>
      <c r="E24" s="292"/>
      <c r="F24" s="292"/>
      <c r="G24" s="300" t="s">
        <v>143</v>
      </c>
      <c r="H24" s="300"/>
    </row>
    <row r="25" spans="1:8" x14ac:dyDescent="0.2">
      <c r="A25" s="15"/>
      <c r="B25" s="23">
        <v>5</v>
      </c>
      <c r="C25" s="292" t="s">
        <v>118</v>
      </c>
      <c r="D25" s="292"/>
      <c r="E25" s="292"/>
      <c r="F25" s="292"/>
      <c r="G25" s="23">
        <v>0</v>
      </c>
      <c r="H25" s="36" t="s">
        <v>147</v>
      </c>
    </row>
    <row r="26" spans="1:8" ht="13.9" customHeight="1" x14ac:dyDescent="0.2">
      <c r="A26" s="15"/>
      <c r="B26" s="24"/>
      <c r="G26" s="23">
        <v>1</v>
      </c>
      <c r="H26" s="36" t="s">
        <v>148</v>
      </c>
    </row>
    <row r="27" spans="1:8" ht="13.9" customHeight="1" x14ac:dyDescent="0.2">
      <c r="A27" s="15"/>
      <c r="B27" s="299" t="s">
        <v>128</v>
      </c>
      <c r="C27" s="299"/>
      <c r="D27" s="299"/>
      <c r="E27" s="299"/>
      <c r="F27" s="299"/>
      <c r="G27" s="38">
        <v>2</v>
      </c>
      <c r="H27" s="39" t="s">
        <v>149</v>
      </c>
    </row>
    <row r="28" spans="1:8" x14ac:dyDescent="0.2">
      <c r="A28" s="15"/>
      <c r="B28" s="23">
        <v>0</v>
      </c>
      <c r="C28" s="292" t="s">
        <v>123</v>
      </c>
      <c r="D28" s="292"/>
      <c r="E28" s="292"/>
      <c r="F28" s="292"/>
      <c r="G28" s="23">
        <v>0</v>
      </c>
      <c r="H28" s="36" t="s">
        <v>147</v>
      </c>
    </row>
    <row r="29" spans="1:8" x14ac:dyDescent="0.2">
      <c r="B29" s="23">
        <v>1</v>
      </c>
      <c r="C29" s="292" t="s">
        <v>124</v>
      </c>
      <c r="D29" s="292"/>
      <c r="E29" s="292"/>
      <c r="F29" s="292"/>
      <c r="G29" s="23">
        <v>1</v>
      </c>
      <c r="H29" s="36" t="s">
        <v>148</v>
      </c>
    </row>
    <row r="30" spans="1:8" ht="27" customHeight="1" x14ac:dyDescent="0.2">
      <c r="A30" s="15"/>
      <c r="B30" s="23" t="s">
        <v>122</v>
      </c>
      <c r="C30" s="292" t="s">
        <v>145</v>
      </c>
      <c r="D30" s="292"/>
      <c r="E30" s="292"/>
      <c r="F30" s="292"/>
      <c r="G30" s="38">
        <v>2</v>
      </c>
      <c r="H30" s="39" t="s">
        <v>149</v>
      </c>
    </row>
    <row r="31" spans="1:8" x14ac:dyDescent="0.2">
      <c r="A31" s="15"/>
      <c r="B31" s="23">
        <v>2</v>
      </c>
      <c r="C31" s="292" t="s">
        <v>144</v>
      </c>
      <c r="D31" s="292"/>
      <c r="E31" s="292"/>
      <c r="F31" s="292"/>
      <c r="H31" s="36"/>
    </row>
    <row r="32" spans="1:8" x14ac:dyDescent="0.2">
      <c r="A32" s="15"/>
      <c r="B32" s="23">
        <v>3</v>
      </c>
      <c r="C32" s="292" t="s">
        <v>125</v>
      </c>
      <c r="D32" s="292"/>
      <c r="E32" s="292"/>
      <c r="F32" s="292"/>
      <c r="G32" s="299" t="s">
        <v>129</v>
      </c>
      <c r="H32" s="299"/>
    </row>
    <row r="33" spans="1:8" x14ac:dyDescent="0.2">
      <c r="A33" s="15"/>
      <c r="B33" s="23">
        <v>4</v>
      </c>
      <c r="C33" s="292" t="s">
        <v>126</v>
      </c>
      <c r="D33" s="292"/>
      <c r="E33" s="292"/>
      <c r="F33" s="292"/>
      <c r="G33" s="37" t="s">
        <v>141</v>
      </c>
      <c r="H33" s="37"/>
    </row>
    <row r="34" spans="1:8" ht="14.45" customHeight="1" x14ac:dyDescent="0.2">
      <c r="A34" s="15"/>
      <c r="B34" s="24"/>
      <c r="G34" s="37" t="s">
        <v>142</v>
      </c>
      <c r="H34" s="37"/>
    </row>
    <row r="35" spans="1:8" ht="13.9" customHeight="1" x14ac:dyDescent="0.2">
      <c r="A35" s="15"/>
      <c r="B35" s="299" t="s">
        <v>131</v>
      </c>
      <c r="C35" s="299"/>
      <c r="D35" s="299"/>
      <c r="E35" s="299"/>
      <c r="F35" s="299"/>
    </row>
    <row r="36" spans="1:8" ht="13.9" customHeight="1" x14ac:dyDescent="0.2">
      <c r="A36" s="15"/>
      <c r="B36" s="23">
        <v>0</v>
      </c>
      <c r="C36" s="292" t="s">
        <v>132</v>
      </c>
      <c r="D36" s="292"/>
      <c r="E36" s="292"/>
      <c r="F36" s="292"/>
      <c r="G36" s="299" t="s">
        <v>130</v>
      </c>
      <c r="H36" s="299"/>
    </row>
    <row r="37" spans="1:8" ht="13.9" customHeight="1" x14ac:dyDescent="0.2">
      <c r="B37" s="23" t="s">
        <v>133</v>
      </c>
      <c r="C37" s="292" t="s">
        <v>146</v>
      </c>
      <c r="D37" s="292"/>
      <c r="E37" s="292"/>
      <c r="F37" s="292"/>
      <c r="G37" s="23">
        <v>0</v>
      </c>
      <c r="H37" s="36" t="s">
        <v>138</v>
      </c>
    </row>
    <row r="38" spans="1:8" ht="13.9" customHeight="1" x14ac:dyDescent="0.2">
      <c r="A38" s="15"/>
      <c r="B38" s="23">
        <v>1</v>
      </c>
      <c r="C38" s="292" t="s">
        <v>135</v>
      </c>
      <c r="D38" s="292"/>
      <c r="E38" s="292"/>
      <c r="F38" s="292"/>
      <c r="G38" s="23">
        <v>1</v>
      </c>
      <c r="H38" s="36" t="s">
        <v>139</v>
      </c>
    </row>
    <row r="39" spans="1:8" ht="24.6" customHeight="1" x14ac:dyDescent="0.2">
      <c r="A39" s="15"/>
      <c r="B39" s="23" t="s">
        <v>134</v>
      </c>
      <c r="C39" s="292" t="s">
        <v>136</v>
      </c>
      <c r="D39" s="292"/>
      <c r="E39" s="292"/>
      <c r="F39" s="292"/>
      <c r="G39" s="23">
        <v>2</v>
      </c>
      <c r="H39" s="36" t="s">
        <v>140</v>
      </c>
    </row>
    <row r="40" spans="1:8" x14ac:dyDescent="0.2">
      <c r="A40" s="15"/>
      <c r="B40" s="23">
        <v>2</v>
      </c>
      <c r="C40" s="292" t="s">
        <v>137</v>
      </c>
      <c r="D40" s="292"/>
      <c r="E40" s="292"/>
      <c r="F40" s="292"/>
      <c r="G40" s="23">
        <v>3</v>
      </c>
      <c r="H40" s="36" t="s">
        <v>150</v>
      </c>
    </row>
    <row r="41" spans="1:8" ht="15" customHeight="1" x14ac:dyDescent="0.2">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2" zoomScaleNormal="100" zoomScalePageLayoutView="70" workbookViewId="0">
      <selection activeCell="B42" sqref="B42:K50"/>
    </sheetView>
  </sheetViews>
  <sheetFormatPr defaultColWidth="11.5703125" defaultRowHeight="14.25" x14ac:dyDescent="0.2"/>
  <cols>
    <col min="1" max="1" width="7" style="1" customWidth="1"/>
    <col min="2" max="2" width="3.140625" style="1" bestFit="1" customWidth="1"/>
    <col min="3" max="3" width="3" style="1" bestFit="1" customWidth="1"/>
    <col min="4" max="4" width="11.5703125" style="1" customWidth="1"/>
    <col min="5" max="5" width="11.5703125" style="1"/>
    <col min="6" max="6" width="11.5703125" style="1" customWidth="1"/>
    <col min="7" max="7" width="16.7109375" style="1" customWidth="1"/>
    <col min="8" max="9" width="6.28515625" style="1" customWidth="1"/>
    <col min="10" max="11" width="6.28515625" style="22" customWidth="1"/>
    <col min="12" max="12" width="11.5703125" style="22" customWidth="1"/>
    <col min="13" max="16384" width="11.5703125" style="1"/>
  </cols>
  <sheetData>
    <row r="1" spans="2:12" ht="15" customHeight="1" thickBot="1" x14ac:dyDescent="0.3">
      <c r="B1" s="264" t="s">
        <v>409</v>
      </c>
      <c r="C1" s="265"/>
      <c r="D1" s="265"/>
      <c r="E1" s="265"/>
      <c r="F1" s="265"/>
      <c r="G1" s="265"/>
      <c r="H1" s="265"/>
      <c r="I1" s="265"/>
      <c r="J1" s="265"/>
      <c r="K1" s="266"/>
      <c r="L1" s="17"/>
    </row>
    <row r="2" spans="2:12" ht="7.9" customHeight="1" thickBot="1" x14ac:dyDescent="0.3">
      <c r="B2" s="10"/>
      <c r="C2" s="11"/>
      <c r="D2" s="11"/>
      <c r="E2" s="11"/>
      <c r="F2" s="12"/>
      <c r="G2" s="11"/>
      <c r="H2" s="11"/>
      <c r="J2" s="18"/>
      <c r="K2" s="18"/>
      <c r="L2" s="18"/>
    </row>
    <row r="3" spans="2:12" ht="15" thickBot="1" x14ac:dyDescent="0.35">
      <c r="B3" s="40"/>
      <c r="C3" s="40"/>
      <c r="D3" s="40"/>
      <c r="E3" s="40"/>
      <c r="F3" s="40"/>
      <c r="G3" s="40"/>
      <c r="H3" s="309" t="s">
        <v>49</v>
      </c>
      <c r="I3" s="310"/>
      <c r="J3" s="309" t="s">
        <v>50</v>
      </c>
      <c r="K3" s="386"/>
    </row>
    <row r="4" spans="2:12" x14ac:dyDescent="0.2">
      <c r="B4" s="383" t="s">
        <v>152</v>
      </c>
      <c r="C4" s="41">
        <v>1</v>
      </c>
      <c r="D4" s="334" t="s">
        <v>156</v>
      </c>
      <c r="E4" s="335"/>
      <c r="F4" s="335"/>
      <c r="G4" s="422"/>
      <c r="H4" s="402"/>
      <c r="I4" s="403"/>
      <c r="J4" s="402"/>
      <c r="K4" s="403"/>
    </row>
    <row r="5" spans="2:12" x14ac:dyDescent="0.2">
      <c r="B5" s="332"/>
      <c r="C5" s="42">
        <v>2</v>
      </c>
      <c r="D5" s="350" t="s">
        <v>157</v>
      </c>
      <c r="E5" s="351"/>
      <c r="F5" s="351"/>
      <c r="G5" s="448"/>
      <c r="H5" s="440"/>
      <c r="I5" s="441"/>
      <c r="J5" s="440"/>
      <c r="K5" s="441"/>
    </row>
    <row r="6" spans="2:12" x14ac:dyDescent="0.2">
      <c r="B6" s="332"/>
      <c r="C6" s="42">
        <v>3</v>
      </c>
      <c r="D6" s="350" t="s">
        <v>158</v>
      </c>
      <c r="E6" s="351"/>
      <c r="F6" s="351"/>
      <c r="G6" s="448"/>
      <c r="H6" s="62"/>
      <c r="I6" s="63"/>
      <c r="J6" s="62"/>
      <c r="K6" s="63"/>
    </row>
    <row r="7" spans="2:12" ht="15" thickBot="1" x14ac:dyDescent="0.25">
      <c r="B7" s="332"/>
      <c r="C7" s="43">
        <v>4</v>
      </c>
      <c r="D7" s="352" t="s">
        <v>159</v>
      </c>
      <c r="E7" s="353"/>
      <c r="F7" s="353"/>
      <c r="G7" s="449"/>
      <c r="H7" s="64"/>
      <c r="I7" s="65"/>
      <c r="J7" s="64"/>
      <c r="K7" s="65"/>
    </row>
    <row r="8" spans="2:12" ht="15" thickBot="1" x14ac:dyDescent="0.25">
      <c r="B8" s="332"/>
      <c r="C8" s="44">
        <v>5</v>
      </c>
      <c r="D8" s="450" t="s">
        <v>160</v>
      </c>
      <c r="E8" s="451"/>
      <c r="F8" s="451"/>
      <c r="G8" s="452"/>
      <c r="H8" s="365"/>
      <c r="I8" s="366"/>
      <c r="J8" s="365"/>
      <c r="K8" s="366"/>
    </row>
    <row r="9" spans="2:12" x14ac:dyDescent="0.2">
      <c r="B9" s="332"/>
      <c r="C9" s="45">
        <v>6</v>
      </c>
      <c r="D9" s="356" t="s">
        <v>161</v>
      </c>
      <c r="E9" s="357"/>
      <c r="F9" s="357"/>
      <c r="G9" s="358"/>
      <c r="H9" s="66"/>
      <c r="I9" s="67"/>
      <c r="J9" s="66"/>
      <c r="K9" s="67"/>
    </row>
    <row r="10" spans="2:12" x14ac:dyDescent="0.2">
      <c r="B10" s="332"/>
      <c r="C10" s="46">
        <v>7</v>
      </c>
      <c r="D10" s="359" t="s">
        <v>162</v>
      </c>
      <c r="E10" s="360"/>
      <c r="F10" s="360"/>
      <c r="G10" s="361"/>
      <c r="H10" s="68"/>
      <c r="I10" s="69"/>
      <c r="J10" s="68"/>
      <c r="K10" s="69"/>
    </row>
    <row r="11" spans="2:12" ht="15" thickBot="1" x14ac:dyDescent="0.25">
      <c r="B11" s="332"/>
      <c r="C11" s="47">
        <v>8</v>
      </c>
      <c r="D11" s="341" t="s">
        <v>163</v>
      </c>
      <c r="E11" s="342"/>
      <c r="F11" s="342"/>
      <c r="G11" s="343"/>
      <c r="H11" s="70"/>
      <c r="I11" s="71"/>
      <c r="J11" s="70"/>
      <c r="K11" s="71"/>
    </row>
    <row r="12" spans="2:12" ht="15" thickBot="1" x14ac:dyDescent="0.25">
      <c r="B12" s="333"/>
      <c r="C12" s="48">
        <v>9</v>
      </c>
      <c r="D12" s="453" t="s">
        <v>164</v>
      </c>
      <c r="E12" s="454"/>
      <c r="F12" s="454"/>
      <c r="G12" s="455"/>
      <c r="H12" s="72"/>
      <c r="I12" s="73"/>
      <c r="J12" s="72"/>
      <c r="K12" s="73"/>
    </row>
    <row r="13" spans="2:12" ht="7.9" customHeight="1" thickBot="1" x14ac:dyDescent="0.35">
      <c r="B13" s="40"/>
      <c r="C13" s="40"/>
      <c r="D13" s="49"/>
      <c r="E13" s="49"/>
      <c r="F13" s="49"/>
      <c r="G13" s="49"/>
      <c r="H13" s="40"/>
      <c r="I13" s="40"/>
      <c r="J13" s="40"/>
      <c r="K13" s="40"/>
    </row>
    <row r="14" spans="2:12" x14ac:dyDescent="0.2">
      <c r="B14" s="383" t="s">
        <v>153</v>
      </c>
      <c r="C14" s="41">
        <v>10</v>
      </c>
      <c r="D14" s="431" t="s">
        <v>165</v>
      </c>
      <c r="E14" s="432"/>
      <c r="F14" s="432"/>
      <c r="G14" s="433"/>
      <c r="H14" s="402"/>
      <c r="I14" s="403"/>
      <c r="J14" s="402"/>
      <c r="K14" s="403"/>
    </row>
    <row r="15" spans="2:12" x14ac:dyDescent="0.2">
      <c r="B15" s="332"/>
      <c r="C15" s="42">
        <v>11</v>
      </c>
      <c r="D15" s="445" t="s">
        <v>166</v>
      </c>
      <c r="E15" s="446"/>
      <c r="F15" s="446"/>
      <c r="G15" s="447"/>
      <c r="H15" s="440"/>
      <c r="I15" s="441"/>
      <c r="J15" s="440"/>
      <c r="K15" s="441"/>
    </row>
    <row r="16" spans="2:12" x14ac:dyDescent="0.2">
      <c r="B16" s="332"/>
      <c r="C16" s="42">
        <v>12</v>
      </c>
      <c r="D16" s="445" t="s">
        <v>167</v>
      </c>
      <c r="E16" s="446"/>
      <c r="F16" s="446"/>
      <c r="G16" s="447"/>
      <c r="H16" s="440"/>
      <c r="I16" s="441"/>
      <c r="J16" s="440"/>
      <c r="K16" s="441"/>
    </row>
    <row r="17" spans="2:11" x14ac:dyDescent="0.2">
      <c r="B17" s="332"/>
      <c r="C17" s="42">
        <v>13</v>
      </c>
      <c r="D17" s="434" t="s">
        <v>168</v>
      </c>
      <c r="E17" s="435"/>
      <c r="F17" s="435"/>
      <c r="G17" s="436"/>
      <c r="H17" s="440"/>
      <c r="I17" s="441"/>
      <c r="J17" s="440"/>
      <c r="K17" s="441"/>
    </row>
    <row r="18" spans="2:11" ht="15" thickBot="1" x14ac:dyDescent="0.25">
      <c r="B18" s="332"/>
      <c r="C18" s="43">
        <v>14</v>
      </c>
      <c r="D18" s="442" t="s">
        <v>169</v>
      </c>
      <c r="E18" s="443"/>
      <c r="F18" s="443"/>
      <c r="G18" s="444"/>
      <c r="H18" s="426"/>
      <c r="I18" s="427"/>
      <c r="J18" s="426"/>
      <c r="K18" s="427"/>
    </row>
    <row r="19" spans="2:11" x14ac:dyDescent="0.2">
      <c r="B19" s="332"/>
      <c r="C19" s="45">
        <v>15</v>
      </c>
      <c r="D19" s="356" t="s">
        <v>161</v>
      </c>
      <c r="E19" s="357"/>
      <c r="F19" s="357"/>
      <c r="G19" s="358"/>
      <c r="H19" s="66"/>
      <c r="I19" s="67"/>
      <c r="J19" s="66"/>
      <c r="K19" s="67"/>
    </row>
    <row r="20" spans="2:11" ht="15" thickBot="1" x14ac:dyDescent="0.25">
      <c r="B20" s="332"/>
      <c r="C20" s="50">
        <v>16</v>
      </c>
      <c r="D20" s="437" t="s">
        <v>162</v>
      </c>
      <c r="E20" s="438"/>
      <c r="F20" s="438"/>
      <c r="G20" s="439"/>
      <c r="H20" s="70"/>
      <c r="I20" s="71"/>
      <c r="J20" s="70"/>
      <c r="K20" s="71"/>
    </row>
    <row r="21" spans="2:11" x14ac:dyDescent="0.2">
      <c r="B21" s="332"/>
      <c r="C21" s="51">
        <v>17</v>
      </c>
      <c r="D21" s="408" t="s">
        <v>170</v>
      </c>
      <c r="E21" s="409"/>
      <c r="F21" s="409"/>
      <c r="G21" s="410"/>
      <c r="H21" s="66"/>
      <c r="I21" s="67"/>
      <c r="J21" s="66"/>
      <c r="K21" s="67"/>
    </row>
    <row r="22" spans="2:11" ht="15" thickBot="1" x14ac:dyDescent="0.25">
      <c r="B22" s="333"/>
      <c r="C22" s="52">
        <v>18</v>
      </c>
      <c r="D22" s="413" t="s">
        <v>171</v>
      </c>
      <c r="E22" s="376"/>
      <c r="F22" s="376"/>
      <c r="G22" s="414"/>
      <c r="H22" s="70"/>
      <c r="I22" s="71"/>
      <c r="J22" s="70"/>
      <c r="K22" s="71"/>
    </row>
    <row r="23" spans="2:11" ht="7.9" customHeight="1" thickBot="1" x14ac:dyDescent="0.35">
      <c r="B23" s="40"/>
      <c r="C23" s="40"/>
      <c r="D23" s="49"/>
      <c r="E23" s="49"/>
      <c r="F23" s="49"/>
      <c r="G23" s="49"/>
      <c r="H23" s="367"/>
      <c r="I23" s="367"/>
      <c r="J23" s="367"/>
      <c r="K23" s="367"/>
    </row>
    <row r="24" spans="2:11" x14ac:dyDescent="0.2">
      <c r="B24" s="383" t="s">
        <v>154</v>
      </c>
      <c r="C24" s="41">
        <v>19</v>
      </c>
      <c r="D24" s="334" t="s">
        <v>172</v>
      </c>
      <c r="E24" s="335"/>
      <c r="F24" s="335"/>
      <c r="G24" s="422"/>
      <c r="H24" s="402"/>
      <c r="I24" s="403"/>
      <c r="J24" s="402"/>
      <c r="K24" s="403"/>
    </row>
    <row r="25" spans="2:11" ht="15" thickBot="1" x14ac:dyDescent="0.25">
      <c r="B25" s="332"/>
      <c r="C25" s="53">
        <v>20</v>
      </c>
      <c r="D25" s="423" t="s">
        <v>173</v>
      </c>
      <c r="E25" s="424"/>
      <c r="F25" s="424"/>
      <c r="G25" s="425"/>
      <c r="H25" s="426"/>
      <c r="I25" s="427"/>
      <c r="J25" s="426"/>
      <c r="K25" s="427"/>
    </row>
    <row r="26" spans="2:11" ht="15" thickBot="1" x14ac:dyDescent="0.25">
      <c r="B26" s="331"/>
      <c r="C26" s="54">
        <v>21</v>
      </c>
      <c r="D26" s="428" t="s">
        <v>174</v>
      </c>
      <c r="E26" s="429"/>
      <c r="F26" s="429"/>
      <c r="G26" s="430"/>
      <c r="H26" s="365"/>
      <c r="I26" s="366"/>
      <c r="J26" s="365"/>
      <c r="K26" s="366"/>
    </row>
    <row r="27" spans="2:11" x14ac:dyDescent="0.2">
      <c r="B27" s="331"/>
      <c r="C27" s="45">
        <v>22</v>
      </c>
      <c r="D27" s="356" t="s">
        <v>175</v>
      </c>
      <c r="E27" s="357"/>
      <c r="F27" s="357"/>
      <c r="G27" s="358"/>
      <c r="H27" s="74"/>
      <c r="I27" s="67"/>
      <c r="J27" s="66"/>
      <c r="K27" s="67"/>
    </row>
    <row r="28" spans="2:11" x14ac:dyDescent="0.2">
      <c r="B28" s="331"/>
      <c r="C28" s="46">
        <v>23</v>
      </c>
      <c r="D28" s="359" t="s">
        <v>176</v>
      </c>
      <c r="E28" s="360"/>
      <c r="F28" s="360"/>
      <c r="G28" s="361"/>
      <c r="H28" s="75"/>
      <c r="I28" s="69"/>
      <c r="J28" s="68"/>
      <c r="K28" s="69"/>
    </row>
    <row r="29" spans="2:11" x14ac:dyDescent="0.2">
      <c r="B29" s="331"/>
      <c r="C29" s="46">
        <v>24</v>
      </c>
      <c r="D29" s="359" t="s">
        <v>177</v>
      </c>
      <c r="E29" s="360"/>
      <c r="F29" s="360"/>
      <c r="G29" s="361"/>
      <c r="H29" s="75"/>
      <c r="I29" s="69"/>
      <c r="J29" s="68"/>
      <c r="K29" s="69"/>
    </row>
    <row r="30" spans="2:11" ht="15" thickBot="1" x14ac:dyDescent="0.25">
      <c r="B30" s="331"/>
      <c r="C30" s="50">
        <v>25</v>
      </c>
      <c r="D30" s="419" t="s">
        <v>178</v>
      </c>
      <c r="E30" s="420"/>
      <c r="F30" s="420"/>
      <c r="G30" s="421"/>
      <c r="H30" s="76"/>
      <c r="I30" s="77"/>
      <c r="J30" s="78"/>
      <c r="K30" s="77"/>
    </row>
    <row r="31" spans="2:11" x14ac:dyDescent="0.2">
      <c r="B31" s="331"/>
      <c r="C31" s="55">
        <v>26</v>
      </c>
      <c r="D31" s="408" t="s">
        <v>143</v>
      </c>
      <c r="E31" s="409"/>
      <c r="F31" s="409"/>
      <c r="G31" s="415"/>
      <c r="H31" s="402"/>
      <c r="I31" s="403"/>
      <c r="J31" s="402"/>
      <c r="K31" s="403"/>
    </row>
    <row r="32" spans="2:11" x14ac:dyDescent="0.2">
      <c r="B32" s="331"/>
      <c r="C32" s="56">
        <v>27</v>
      </c>
      <c r="D32" s="416" t="s">
        <v>179</v>
      </c>
      <c r="E32" s="373"/>
      <c r="F32" s="373"/>
      <c r="G32" s="374"/>
      <c r="H32" s="68"/>
      <c r="I32" s="69"/>
      <c r="J32" s="68"/>
      <c r="K32" s="69"/>
    </row>
    <row r="33" spans="2:11" ht="15" thickBot="1" x14ac:dyDescent="0.25">
      <c r="B33" s="344"/>
      <c r="C33" s="57">
        <v>28</v>
      </c>
      <c r="D33" s="413" t="s">
        <v>180</v>
      </c>
      <c r="E33" s="376"/>
      <c r="F33" s="376"/>
      <c r="G33" s="377"/>
      <c r="H33" s="417">
        <f>H24-I32</f>
        <v>0</v>
      </c>
      <c r="I33" s="418"/>
      <c r="J33" s="417">
        <f>J24-K32</f>
        <v>0</v>
      </c>
      <c r="K33" s="418"/>
    </row>
    <row r="34" spans="2:11" ht="7.9" customHeight="1" thickBot="1" x14ac:dyDescent="0.3">
      <c r="B34" s="58"/>
      <c r="C34" s="40"/>
      <c r="D34" s="49"/>
      <c r="E34" s="49"/>
      <c r="F34" s="49"/>
      <c r="G34" s="49"/>
      <c r="H34" s="40"/>
      <c r="I34" s="40"/>
      <c r="J34" s="40"/>
      <c r="K34" s="40"/>
    </row>
    <row r="35" spans="2:11" x14ac:dyDescent="0.2">
      <c r="B35" s="330" t="s">
        <v>155</v>
      </c>
      <c r="C35" s="59">
        <v>29</v>
      </c>
      <c r="D35" s="345" t="s">
        <v>181</v>
      </c>
      <c r="E35" s="346"/>
      <c r="F35" s="346"/>
      <c r="G35" s="401"/>
      <c r="H35" s="402"/>
      <c r="I35" s="403"/>
      <c r="J35" s="402"/>
      <c r="K35" s="403"/>
    </row>
    <row r="36" spans="2:11" x14ac:dyDescent="0.2">
      <c r="B36" s="331"/>
      <c r="C36" s="60">
        <v>30</v>
      </c>
      <c r="D36" s="318" t="s">
        <v>182</v>
      </c>
      <c r="E36" s="328"/>
      <c r="F36" s="328"/>
      <c r="G36" s="404"/>
      <c r="H36" s="62"/>
      <c r="I36" s="63"/>
      <c r="J36" s="62"/>
      <c r="K36" s="63"/>
    </row>
    <row r="37" spans="2:11" ht="15" thickBot="1" x14ac:dyDescent="0.25">
      <c r="B37" s="331"/>
      <c r="C37" s="61">
        <v>31</v>
      </c>
      <c r="D37" s="405" t="s">
        <v>183</v>
      </c>
      <c r="E37" s="406"/>
      <c r="F37" s="406"/>
      <c r="G37" s="407"/>
      <c r="H37" s="79"/>
      <c r="I37" s="80"/>
      <c r="J37" s="79"/>
      <c r="K37" s="80"/>
    </row>
    <row r="38" spans="2:11" ht="15" x14ac:dyDescent="0.25">
      <c r="B38" s="331"/>
      <c r="C38" s="51">
        <v>32</v>
      </c>
      <c r="D38" s="408" t="s">
        <v>184</v>
      </c>
      <c r="E38" s="409"/>
      <c r="F38" s="409"/>
      <c r="G38" s="410"/>
      <c r="H38" s="411"/>
      <c r="I38" s="412"/>
      <c r="J38" s="411"/>
      <c r="K38" s="412"/>
    </row>
    <row r="39" spans="2:11" ht="15.75" thickBot="1" x14ac:dyDescent="0.3">
      <c r="B39" s="344"/>
      <c r="C39" s="52">
        <v>33</v>
      </c>
      <c r="D39" s="413" t="s">
        <v>185</v>
      </c>
      <c r="E39" s="376"/>
      <c r="F39" s="376"/>
      <c r="G39" s="414"/>
      <c r="H39" s="387"/>
      <c r="I39" s="388"/>
      <c r="J39" s="387"/>
      <c r="K39" s="388"/>
    </row>
    <row r="40" spans="2:11" ht="7.9" customHeight="1" thickBot="1" x14ac:dyDescent="0.3"/>
    <row r="41" spans="2:11" ht="15" thickBot="1" x14ac:dyDescent="0.35">
      <c r="B41" s="398" t="s">
        <v>8</v>
      </c>
      <c r="C41" s="399"/>
      <c r="D41" s="399"/>
      <c r="E41" s="399"/>
      <c r="F41" s="399"/>
      <c r="G41" s="399"/>
      <c r="H41" s="399"/>
      <c r="I41" s="399"/>
      <c r="J41" s="399"/>
      <c r="K41" s="400"/>
    </row>
    <row r="42" spans="2:11" ht="14.45" customHeight="1" x14ac:dyDescent="0.2">
      <c r="B42" s="389"/>
      <c r="C42" s="390"/>
      <c r="D42" s="390"/>
      <c r="E42" s="390"/>
      <c r="F42" s="390"/>
      <c r="G42" s="390"/>
      <c r="H42" s="390"/>
      <c r="I42" s="390"/>
      <c r="J42" s="390"/>
      <c r="K42" s="391"/>
    </row>
    <row r="43" spans="2:11" ht="14.45" customHeight="1" x14ac:dyDescent="0.2">
      <c r="B43" s="392"/>
      <c r="C43" s="393"/>
      <c r="D43" s="393"/>
      <c r="E43" s="393"/>
      <c r="F43" s="393"/>
      <c r="G43" s="393"/>
      <c r="H43" s="393"/>
      <c r="I43" s="393"/>
      <c r="J43" s="393"/>
      <c r="K43" s="394"/>
    </row>
    <row r="44" spans="2:11" ht="14.45" customHeight="1" x14ac:dyDescent="0.2">
      <c r="B44" s="392"/>
      <c r="C44" s="393"/>
      <c r="D44" s="393"/>
      <c r="E44" s="393"/>
      <c r="F44" s="393"/>
      <c r="G44" s="393"/>
      <c r="H44" s="393"/>
      <c r="I44" s="393"/>
      <c r="J44" s="393"/>
      <c r="K44" s="394"/>
    </row>
    <row r="45" spans="2:11" ht="14.45" customHeight="1" x14ac:dyDescent="0.2">
      <c r="B45" s="392"/>
      <c r="C45" s="393"/>
      <c r="D45" s="393"/>
      <c r="E45" s="393"/>
      <c r="F45" s="393"/>
      <c r="G45" s="393"/>
      <c r="H45" s="393"/>
      <c r="I45" s="393"/>
      <c r="J45" s="393"/>
      <c r="K45" s="394"/>
    </row>
    <row r="46" spans="2:11" ht="14.45" customHeight="1" x14ac:dyDescent="0.2">
      <c r="B46" s="392"/>
      <c r="C46" s="393"/>
      <c r="D46" s="393"/>
      <c r="E46" s="393"/>
      <c r="F46" s="393"/>
      <c r="G46" s="393"/>
      <c r="H46" s="393"/>
      <c r="I46" s="393"/>
      <c r="J46" s="393"/>
      <c r="K46" s="394"/>
    </row>
    <row r="47" spans="2:11" ht="14.45" customHeight="1" x14ac:dyDescent="0.2">
      <c r="B47" s="392"/>
      <c r="C47" s="393"/>
      <c r="D47" s="393"/>
      <c r="E47" s="393"/>
      <c r="F47" s="393"/>
      <c r="G47" s="393"/>
      <c r="H47" s="393"/>
      <c r="I47" s="393"/>
      <c r="J47" s="393"/>
      <c r="K47" s="394"/>
    </row>
    <row r="48" spans="2:11" ht="14.45" customHeight="1" x14ac:dyDescent="0.2">
      <c r="B48" s="392"/>
      <c r="C48" s="393"/>
      <c r="D48" s="393"/>
      <c r="E48" s="393"/>
      <c r="F48" s="393"/>
      <c r="G48" s="393"/>
      <c r="H48" s="393"/>
      <c r="I48" s="393"/>
      <c r="J48" s="393"/>
      <c r="K48" s="394"/>
    </row>
    <row r="49" spans="2:11" ht="14.45" customHeight="1" x14ac:dyDescent="0.2">
      <c r="B49" s="392"/>
      <c r="C49" s="393"/>
      <c r="D49" s="393"/>
      <c r="E49" s="393"/>
      <c r="F49" s="393"/>
      <c r="G49" s="393"/>
      <c r="H49" s="393"/>
      <c r="I49" s="393"/>
      <c r="J49" s="393"/>
      <c r="K49" s="394"/>
    </row>
    <row r="50" spans="2:11" ht="14.45" customHeight="1" thickBot="1" x14ac:dyDescent="0.25">
      <c r="B50" s="395"/>
      <c r="C50" s="396"/>
      <c r="D50" s="396"/>
      <c r="E50" s="396"/>
      <c r="F50" s="396"/>
      <c r="G50" s="396"/>
      <c r="H50" s="396"/>
      <c r="I50" s="396"/>
      <c r="J50" s="396"/>
      <c r="K50" s="397"/>
    </row>
    <row r="51" spans="2:11" ht="14.45" thickBot="1" x14ac:dyDescent="0.3">
      <c r="B51" s="264" t="s">
        <v>410</v>
      </c>
      <c r="C51" s="265"/>
      <c r="D51" s="265"/>
      <c r="E51" s="265"/>
      <c r="F51" s="265"/>
      <c r="G51" s="265"/>
      <c r="H51" s="265"/>
      <c r="I51" s="265"/>
      <c r="J51" s="265"/>
      <c r="K51" s="266"/>
    </row>
    <row r="52" spans="2:11" ht="7.9" customHeight="1" thickBot="1" x14ac:dyDescent="0.3"/>
    <row r="53" spans="2:11" ht="13.9" customHeight="1" thickBot="1" x14ac:dyDescent="0.3">
      <c r="H53" s="309" t="s">
        <v>49</v>
      </c>
      <c r="I53" s="310"/>
      <c r="J53" s="309" t="s">
        <v>50</v>
      </c>
      <c r="K53" s="386"/>
    </row>
    <row r="54" spans="2:11" x14ac:dyDescent="0.2">
      <c r="B54" s="383" t="s">
        <v>152</v>
      </c>
      <c r="C54" s="41">
        <v>41</v>
      </c>
      <c r="D54" s="334" t="s">
        <v>186</v>
      </c>
      <c r="E54" s="335"/>
      <c r="F54" s="335"/>
      <c r="G54" s="335"/>
      <c r="H54" s="336"/>
      <c r="I54" s="337"/>
      <c r="J54" s="336"/>
      <c r="K54" s="337"/>
    </row>
    <row r="55" spans="2:11" x14ac:dyDescent="0.2">
      <c r="B55" s="332"/>
      <c r="C55" s="81">
        <v>42</v>
      </c>
      <c r="D55" s="384" t="s">
        <v>187</v>
      </c>
      <c r="E55" s="385"/>
      <c r="F55" s="385"/>
      <c r="G55" s="385"/>
      <c r="H55" s="348"/>
      <c r="I55" s="349"/>
      <c r="J55" s="348"/>
      <c r="K55" s="349"/>
    </row>
    <row r="56" spans="2:11" x14ac:dyDescent="0.2">
      <c r="B56" s="332"/>
      <c r="C56" s="81">
        <v>43</v>
      </c>
      <c r="D56" s="384" t="s">
        <v>188</v>
      </c>
      <c r="E56" s="385"/>
      <c r="F56" s="385"/>
      <c r="G56" s="385"/>
      <c r="H56" s="348"/>
      <c r="I56" s="349"/>
      <c r="J56" s="348"/>
      <c r="K56" s="349"/>
    </row>
    <row r="57" spans="2:11" x14ac:dyDescent="0.2">
      <c r="B57" s="332"/>
      <c r="C57" s="81">
        <v>44</v>
      </c>
      <c r="D57" s="384" t="s">
        <v>189</v>
      </c>
      <c r="E57" s="385"/>
      <c r="F57" s="385"/>
      <c r="G57" s="385"/>
      <c r="H57" s="348"/>
      <c r="I57" s="349"/>
      <c r="J57" s="348"/>
      <c r="K57" s="349"/>
    </row>
    <row r="58" spans="2:11" x14ac:dyDescent="0.2">
      <c r="B58" s="332"/>
      <c r="C58" s="81">
        <v>45</v>
      </c>
      <c r="D58" s="384" t="s">
        <v>190</v>
      </c>
      <c r="E58" s="385"/>
      <c r="F58" s="385"/>
      <c r="G58" s="385"/>
      <c r="H58" s="348"/>
      <c r="I58" s="349"/>
      <c r="J58" s="348"/>
      <c r="K58" s="349"/>
    </row>
    <row r="59" spans="2:11" ht="15" thickBot="1" x14ac:dyDescent="0.25">
      <c r="B59" s="332"/>
      <c r="C59" s="53">
        <v>46</v>
      </c>
      <c r="D59" s="352" t="s">
        <v>191</v>
      </c>
      <c r="E59" s="353"/>
      <c r="F59" s="353"/>
      <c r="G59" s="353"/>
      <c r="H59" s="378"/>
      <c r="I59" s="379"/>
      <c r="J59" s="378"/>
      <c r="K59" s="379"/>
    </row>
    <row r="60" spans="2:11" x14ac:dyDescent="0.2">
      <c r="B60" s="332"/>
      <c r="C60" s="45">
        <v>47</v>
      </c>
      <c r="D60" s="380" t="s">
        <v>192</v>
      </c>
      <c r="E60" s="381"/>
      <c r="F60" s="381"/>
      <c r="G60" s="382"/>
      <c r="H60" s="66"/>
      <c r="I60" s="67"/>
      <c r="J60" s="66"/>
      <c r="K60" s="67"/>
    </row>
    <row r="61" spans="2:11" x14ac:dyDescent="0.2">
      <c r="B61" s="332"/>
      <c r="C61" s="46">
        <v>48</v>
      </c>
      <c r="D61" s="368" t="s">
        <v>193</v>
      </c>
      <c r="E61" s="360"/>
      <c r="F61" s="360"/>
      <c r="G61" s="369"/>
      <c r="H61" s="68"/>
      <c r="I61" s="69"/>
      <c r="J61" s="68"/>
      <c r="K61" s="69"/>
    </row>
    <row r="62" spans="2:11" ht="15" thickBot="1" x14ac:dyDescent="0.25">
      <c r="B62" s="332"/>
      <c r="C62" s="50">
        <v>49</v>
      </c>
      <c r="D62" s="370" t="s">
        <v>194</v>
      </c>
      <c r="E62" s="342"/>
      <c r="F62" s="342"/>
      <c r="G62" s="371"/>
      <c r="H62" s="70"/>
      <c r="I62" s="71"/>
      <c r="J62" s="70"/>
      <c r="K62" s="71"/>
    </row>
    <row r="63" spans="2:11" x14ac:dyDescent="0.2">
      <c r="B63" s="332"/>
      <c r="C63" s="51">
        <v>50</v>
      </c>
      <c r="D63" s="372" t="s">
        <v>195</v>
      </c>
      <c r="E63" s="373"/>
      <c r="F63" s="373"/>
      <c r="G63" s="374"/>
      <c r="H63" s="66"/>
      <c r="I63" s="67"/>
      <c r="J63" s="66"/>
      <c r="K63" s="67"/>
    </row>
    <row r="64" spans="2:11" x14ac:dyDescent="0.2">
      <c r="B64" s="332"/>
      <c r="C64" s="82">
        <v>51</v>
      </c>
      <c r="D64" s="372" t="s">
        <v>196</v>
      </c>
      <c r="E64" s="373"/>
      <c r="F64" s="373"/>
      <c r="G64" s="374"/>
      <c r="H64" s="68"/>
      <c r="I64" s="69"/>
      <c r="J64" s="68"/>
      <c r="K64" s="69"/>
    </row>
    <row r="65" spans="2:11" ht="15" thickBot="1" x14ac:dyDescent="0.25">
      <c r="B65" s="333"/>
      <c r="C65" s="52">
        <v>52</v>
      </c>
      <c r="D65" s="375" t="s">
        <v>197</v>
      </c>
      <c r="E65" s="376"/>
      <c r="F65" s="376"/>
      <c r="G65" s="377"/>
      <c r="H65" s="70"/>
      <c r="I65" s="71"/>
      <c r="J65" s="70"/>
      <c r="K65" s="71"/>
    </row>
    <row r="66" spans="2:11" ht="7.9" customHeight="1" thickBot="1" x14ac:dyDescent="0.3">
      <c r="B66" s="40"/>
      <c r="C66" s="40"/>
      <c r="D66" s="49"/>
      <c r="E66" s="49"/>
      <c r="F66" s="49"/>
      <c r="G66" s="49"/>
      <c r="H66" s="40"/>
      <c r="I66" s="40"/>
      <c r="J66" s="40"/>
      <c r="K66" s="40"/>
    </row>
    <row r="67" spans="2:11" ht="15" thickBot="1" x14ac:dyDescent="0.25">
      <c r="B67" s="83" t="s">
        <v>74</v>
      </c>
      <c r="C67" s="84">
        <v>53</v>
      </c>
      <c r="D67" s="362" t="s">
        <v>186</v>
      </c>
      <c r="E67" s="363"/>
      <c r="F67" s="363"/>
      <c r="G67" s="364"/>
      <c r="H67" s="365"/>
      <c r="I67" s="366"/>
      <c r="J67" s="365"/>
      <c r="K67" s="366"/>
    </row>
    <row r="68" spans="2:11" ht="7.9" customHeight="1" thickBot="1" x14ac:dyDescent="0.3">
      <c r="B68" s="40"/>
      <c r="C68" s="40"/>
      <c r="D68" s="49"/>
      <c r="E68" s="49"/>
      <c r="F68" s="49"/>
      <c r="G68" s="49"/>
      <c r="H68" s="367"/>
      <c r="I68" s="367"/>
      <c r="J68" s="367"/>
      <c r="K68" s="367"/>
    </row>
    <row r="69" spans="2:11" x14ac:dyDescent="0.2">
      <c r="B69" s="330" t="s">
        <v>154</v>
      </c>
      <c r="C69" s="41">
        <v>54</v>
      </c>
      <c r="D69" s="334" t="s">
        <v>198</v>
      </c>
      <c r="E69" s="335"/>
      <c r="F69" s="335"/>
      <c r="G69" s="335"/>
      <c r="H69" s="336"/>
      <c r="I69" s="337"/>
      <c r="J69" s="336"/>
      <c r="K69" s="337"/>
    </row>
    <row r="70" spans="2:11" x14ac:dyDescent="0.2">
      <c r="B70" s="331"/>
      <c r="C70" s="42">
        <v>55</v>
      </c>
      <c r="D70" s="350" t="s">
        <v>199</v>
      </c>
      <c r="E70" s="351"/>
      <c r="F70" s="351"/>
      <c r="G70" s="351"/>
      <c r="H70" s="348"/>
      <c r="I70" s="349"/>
      <c r="J70" s="348"/>
      <c r="K70" s="349"/>
    </row>
    <row r="71" spans="2:11" ht="15" thickBot="1" x14ac:dyDescent="0.25">
      <c r="B71" s="331"/>
      <c r="C71" s="43">
        <v>56</v>
      </c>
      <c r="D71" s="352" t="s">
        <v>200</v>
      </c>
      <c r="E71" s="353"/>
      <c r="F71" s="353"/>
      <c r="G71" s="353"/>
      <c r="H71" s="354"/>
      <c r="I71" s="355"/>
      <c r="J71" s="354"/>
      <c r="K71" s="355"/>
    </row>
    <row r="72" spans="2:11" x14ac:dyDescent="0.2">
      <c r="B72" s="332"/>
      <c r="C72" s="45">
        <v>57</v>
      </c>
      <c r="D72" s="356" t="s">
        <v>201</v>
      </c>
      <c r="E72" s="357"/>
      <c r="F72" s="357"/>
      <c r="G72" s="358"/>
      <c r="H72" s="107"/>
      <c r="I72" s="108"/>
      <c r="J72" s="107"/>
      <c r="K72" s="108"/>
    </row>
    <row r="73" spans="2:11" x14ac:dyDescent="0.2">
      <c r="B73" s="332"/>
      <c r="C73" s="46">
        <v>58</v>
      </c>
      <c r="D73" s="359" t="s">
        <v>202</v>
      </c>
      <c r="E73" s="360"/>
      <c r="F73" s="360"/>
      <c r="G73" s="361"/>
      <c r="H73" s="68"/>
      <c r="I73" s="69"/>
      <c r="J73" s="68"/>
      <c r="K73" s="69"/>
    </row>
    <row r="74" spans="2:11" x14ac:dyDescent="0.2">
      <c r="B74" s="332"/>
      <c r="C74" s="46">
        <v>59</v>
      </c>
      <c r="D74" s="338" t="s">
        <v>203</v>
      </c>
      <c r="E74" s="339"/>
      <c r="F74" s="339"/>
      <c r="G74" s="340"/>
      <c r="H74" s="68"/>
      <c r="I74" s="69"/>
      <c r="J74" s="68"/>
      <c r="K74" s="69"/>
    </row>
    <row r="75" spans="2:11" ht="15" thickBot="1" x14ac:dyDescent="0.25">
      <c r="B75" s="333"/>
      <c r="C75" s="47">
        <v>60</v>
      </c>
      <c r="D75" s="341" t="s">
        <v>204</v>
      </c>
      <c r="E75" s="342"/>
      <c r="F75" s="342"/>
      <c r="G75" s="343"/>
      <c r="H75" s="70"/>
      <c r="I75" s="71"/>
      <c r="J75" s="70"/>
      <c r="K75" s="71"/>
    </row>
    <row r="76" spans="2:11" ht="7.9" customHeight="1" thickBot="1" x14ac:dyDescent="0.3">
      <c r="B76" s="58"/>
      <c r="C76" s="40"/>
      <c r="D76" s="49"/>
      <c r="E76" s="49"/>
      <c r="F76" s="49"/>
      <c r="G76" s="49"/>
      <c r="H76" s="40"/>
      <c r="I76" s="40"/>
      <c r="J76" s="40"/>
      <c r="K76" s="40"/>
    </row>
    <row r="77" spans="2:11" x14ac:dyDescent="0.2">
      <c r="B77" s="330" t="s">
        <v>155</v>
      </c>
      <c r="C77" s="59">
        <v>61</v>
      </c>
      <c r="D77" s="345" t="s">
        <v>205</v>
      </c>
      <c r="E77" s="346"/>
      <c r="F77" s="346"/>
      <c r="G77" s="347"/>
      <c r="H77" s="336"/>
      <c r="I77" s="337"/>
      <c r="J77" s="336"/>
      <c r="K77" s="337"/>
    </row>
    <row r="78" spans="2:11" x14ac:dyDescent="0.2">
      <c r="B78" s="331"/>
      <c r="C78" s="60">
        <v>62</v>
      </c>
      <c r="D78" s="318" t="s">
        <v>206</v>
      </c>
      <c r="E78" s="328"/>
      <c r="F78" s="328"/>
      <c r="G78" s="329"/>
      <c r="H78" s="62"/>
      <c r="I78" s="63"/>
      <c r="J78" s="62"/>
      <c r="K78" s="63"/>
    </row>
    <row r="79" spans="2:11" x14ac:dyDescent="0.2">
      <c r="B79" s="331"/>
      <c r="C79" s="60">
        <v>63</v>
      </c>
      <c r="D79" s="318" t="s">
        <v>207</v>
      </c>
      <c r="E79" s="328"/>
      <c r="F79" s="328"/>
      <c r="G79" s="329"/>
      <c r="H79" s="348"/>
      <c r="I79" s="349"/>
      <c r="J79" s="348"/>
      <c r="K79" s="349"/>
    </row>
    <row r="80" spans="2:11" ht="15" x14ac:dyDescent="0.25">
      <c r="B80" s="331"/>
      <c r="C80" s="60">
        <v>64</v>
      </c>
      <c r="D80" s="318" t="s">
        <v>208</v>
      </c>
      <c r="E80" s="328"/>
      <c r="F80" s="328"/>
      <c r="G80" s="329"/>
      <c r="H80" s="321"/>
      <c r="I80" s="322"/>
      <c r="J80" s="321"/>
      <c r="K80" s="322"/>
    </row>
    <row r="81" spans="2:11" ht="15" x14ac:dyDescent="0.25">
      <c r="B81" s="331"/>
      <c r="C81" s="60">
        <v>65</v>
      </c>
      <c r="D81" s="318" t="s">
        <v>209</v>
      </c>
      <c r="E81" s="328"/>
      <c r="F81" s="328"/>
      <c r="G81" s="329"/>
      <c r="H81" s="321"/>
      <c r="I81" s="322"/>
      <c r="J81" s="321"/>
      <c r="K81" s="322"/>
    </row>
    <row r="82" spans="2:11" ht="15" x14ac:dyDescent="0.25">
      <c r="B82" s="331"/>
      <c r="C82" s="60">
        <v>66</v>
      </c>
      <c r="D82" s="318" t="s">
        <v>210</v>
      </c>
      <c r="E82" s="328"/>
      <c r="F82" s="328"/>
      <c r="G82" s="329"/>
      <c r="H82" s="321"/>
      <c r="I82" s="322"/>
      <c r="J82" s="321"/>
      <c r="K82" s="322"/>
    </row>
    <row r="83" spans="2:11" ht="15" x14ac:dyDescent="0.25">
      <c r="B83" s="331"/>
      <c r="C83" s="60">
        <v>67</v>
      </c>
      <c r="D83" s="318" t="s">
        <v>211</v>
      </c>
      <c r="E83" s="328"/>
      <c r="F83" s="328"/>
      <c r="G83" s="329"/>
      <c r="H83" s="321"/>
      <c r="I83" s="322"/>
      <c r="J83" s="321"/>
      <c r="K83" s="322"/>
    </row>
    <row r="84" spans="2:11" ht="15" x14ac:dyDescent="0.25">
      <c r="B84" s="331"/>
      <c r="C84" s="60">
        <v>68</v>
      </c>
      <c r="D84" s="318" t="s">
        <v>212</v>
      </c>
      <c r="E84" s="319"/>
      <c r="F84" s="319"/>
      <c r="G84" s="320"/>
      <c r="H84" s="321"/>
      <c r="I84" s="322"/>
      <c r="J84" s="321"/>
      <c r="K84" s="322"/>
    </row>
    <row r="85" spans="2:11" ht="15" x14ac:dyDescent="0.25">
      <c r="B85" s="331"/>
      <c r="C85" s="60">
        <v>69</v>
      </c>
      <c r="D85" s="318" t="s">
        <v>213</v>
      </c>
      <c r="E85" s="319"/>
      <c r="F85" s="319"/>
      <c r="G85" s="320"/>
      <c r="H85" s="321"/>
      <c r="I85" s="322"/>
      <c r="J85" s="321"/>
      <c r="K85" s="322"/>
    </row>
    <row r="86" spans="2:11" ht="15.75" thickBot="1" x14ac:dyDescent="0.3">
      <c r="B86" s="344"/>
      <c r="C86" s="85">
        <v>70</v>
      </c>
      <c r="D86" s="323" t="s">
        <v>214</v>
      </c>
      <c r="E86" s="324"/>
      <c r="F86" s="324"/>
      <c r="G86" s="325"/>
      <c r="H86" s="326"/>
      <c r="I86" s="327"/>
      <c r="J86" s="326"/>
      <c r="K86" s="327"/>
    </row>
    <row r="87" spans="2:11" ht="15" thickBot="1" x14ac:dyDescent="0.25"/>
    <row r="88" spans="2:11" ht="15" thickBot="1" x14ac:dyDescent="0.25">
      <c r="B88" s="87" t="s">
        <v>215</v>
      </c>
      <c r="C88" s="88"/>
      <c r="D88" s="88"/>
      <c r="E88" s="89" t="s">
        <v>50</v>
      </c>
      <c r="F88" s="90" t="s">
        <v>49</v>
      </c>
      <c r="G88" s="86"/>
    </row>
    <row r="89" spans="2:11" x14ac:dyDescent="0.2">
      <c r="B89" s="314">
        <v>34</v>
      </c>
      <c r="C89" s="315"/>
      <c r="D89" s="95" t="s">
        <v>216</v>
      </c>
      <c r="E89" s="109" t="s">
        <v>217</v>
      </c>
      <c r="F89" s="110" t="s">
        <v>217</v>
      </c>
    </row>
    <row r="90" spans="2:11" ht="15" thickBot="1" x14ac:dyDescent="0.25">
      <c r="B90" s="301">
        <v>35</v>
      </c>
      <c r="C90" s="302"/>
      <c r="D90" s="96" t="s">
        <v>218</v>
      </c>
      <c r="E90" s="112" t="s">
        <v>217</v>
      </c>
      <c r="F90" s="111" t="s">
        <v>217</v>
      </c>
    </row>
    <row r="91" spans="2:11" ht="15" thickBot="1" x14ac:dyDescent="0.25"/>
    <row r="92" spans="2:11" ht="15" thickBot="1" x14ac:dyDescent="0.25">
      <c r="B92" s="311" t="s">
        <v>399</v>
      </c>
      <c r="C92" s="312"/>
      <c r="D92" s="312"/>
      <c r="E92" s="312"/>
      <c r="F92" s="313"/>
    </row>
    <row r="93" spans="2:11" x14ac:dyDescent="0.2">
      <c r="B93" s="314">
        <v>36</v>
      </c>
      <c r="C93" s="315"/>
      <c r="D93" s="303" t="s">
        <v>309</v>
      </c>
      <c r="E93" s="304"/>
      <c r="F93" s="113" t="s">
        <v>260</v>
      </c>
    </row>
    <row r="94" spans="2:11" x14ac:dyDescent="0.2">
      <c r="B94" s="316">
        <v>37</v>
      </c>
      <c r="C94" s="317"/>
      <c r="D94" s="94" t="s">
        <v>400</v>
      </c>
      <c r="E94" s="93"/>
      <c r="F94" s="114" t="s">
        <v>260</v>
      </c>
    </row>
    <row r="95" spans="2:11" x14ac:dyDescent="0.2">
      <c r="B95" s="316">
        <v>38</v>
      </c>
      <c r="C95" s="317"/>
      <c r="D95" s="305" t="s">
        <v>401</v>
      </c>
      <c r="E95" s="306"/>
      <c r="F95" s="114"/>
    </row>
    <row r="96" spans="2:11" ht="15" thickBot="1" x14ac:dyDescent="0.25">
      <c r="B96" s="301">
        <v>39</v>
      </c>
      <c r="C96" s="302"/>
      <c r="D96" s="307" t="s">
        <v>402</v>
      </c>
      <c r="E96" s="308"/>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411</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ht="13.9" x14ac:dyDescent="0.25">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412</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ht="13.9" x14ac:dyDescent="0.25">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3">
      <c r="B1" s="264" t="s">
        <v>413</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ht="13.9" x14ac:dyDescent="0.25">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ht="14.45" x14ac:dyDescent="0.3">
      <c r="A48">
        <v>44</v>
      </c>
    </row>
    <row r="49" spans="1:1" ht="14.45" x14ac:dyDescent="0.3">
      <c r="A49">
        <v>45</v>
      </c>
    </row>
    <row r="50" spans="1:1" ht="14.45" x14ac:dyDescent="0.3">
      <c r="A50">
        <v>46</v>
      </c>
    </row>
    <row r="51" spans="1:1" ht="14.45" x14ac:dyDescent="0.3">
      <c r="A51">
        <v>47</v>
      </c>
    </row>
    <row r="52" spans="1:1" ht="14.45" x14ac:dyDescent="0.3">
      <c r="A52">
        <v>48</v>
      </c>
    </row>
    <row r="53" spans="1:1" ht="14.45" x14ac:dyDescent="0.3">
      <c r="A53">
        <v>49</v>
      </c>
    </row>
    <row r="54" spans="1:1" ht="14.45" x14ac:dyDescent="0.3">
      <c r="A54">
        <v>50</v>
      </c>
    </row>
    <row r="55" spans="1:1" ht="14.45" x14ac:dyDescent="0.3">
      <c r="A55">
        <v>51</v>
      </c>
    </row>
    <row r="56" spans="1:1" ht="14.45" x14ac:dyDescent="0.3">
      <c r="A56">
        <v>52</v>
      </c>
    </row>
    <row r="57" spans="1:1" ht="14.45" x14ac:dyDescent="0.3">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1" x14ac:dyDescent="0.25">
      <c r="A97">
        <v>93</v>
      </c>
    </row>
    <row r="98" spans="1:1" x14ac:dyDescent="0.25">
      <c r="A98">
        <v>94</v>
      </c>
    </row>
    <row r="99" spans="1:1" x14ac:dyDescent="0.25">
      <c r="A99">
        <v>95</v>
      </c>
    </row>
    <row r="100" spans="1:1" x14ac:dyDescent="0.25">
      <c r="A100">
        <v>96</v>
      </c>
    </row>
    <row r="101" spans="1:1" x14ac:dyDescent="0.25">
      <c r="A101">
        <v>97</v>
      </c>
    </row>
    <row r="102" spans="1:1" x14ac:dyDescent="0.25">
      <c r="A102">
        <v>98</v>
      </c>
    </row>
    <row r="103" spans="1:1" x14ac:dyDescent="0.25">
      <c r="A103">
        <v>99</v>
      </c>
    </row>
    <row r="104" spans="1:1" x14ac:dyDescent="0.25">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ht="14.45" x14ac:dyDescent="0.3">
      <c r="A48">
        <v>44</v>
      </c>
    </row>
    <row r="49" spans="1:1" ht="14.45" x14ac:dyDescent="0.3">
      <c r="A49">
        <v>45</v>
      </c>
    </row>
    <row r="50" spans="1:1" ht="14.45" x14ac:dyDescent="0.3">
      <c r="A50">
        <v>46</v>
      </c>
    </row>
    <row r="51" spans="1:1" ht="14.45" x14ac:dyDescent="0.3">
      <c r="A51">
        <v>47</v>
      </c>
    </row>
    <row r="52" spans="1:1" ht="14.45" x14ac:dyDescent="0.3">
      <c r="A52">
        <v>48</v>
      </c>
    </row>
    <row r="53" spans="1:1" ht="14.45" x14ac:dyDescent="0.3">
      <c r="A53">
        <v>49</v>
      </c>
    </row>
    <row r="54" spans="1:1" ht="14.45" x14ac:dyDescent="0.3">
      <c r="A54">
        <v>50</v>
      </c>
    </row>
    <row r="55" spans="1:1" ht="14.45" x14ac:dyDescent="0.3">
      <c r="A55">
        <v>51</v>
      </c>
    </row>
    <row r="56" spans="1:1" ht="14.45" x14ac:dyDescent="0.3">
      <c r="A56">
        <v>52</v>
      </c>
    </row>
    <row r="57" spans="1:1" ht="14.45" x14ac:dyDescent="0.3">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29" x14ac:dyDescent="0.25">
      <c r="A97">
        <v>93</v>
      </c>
    </row>
    <row r="98" spans="1:29" x14ac:dyDescent="0.25">
      <c r="A98">
        <v>94</v>
      </c>
    </row>
    <row r="99" spans="1:29" x14ac:dyDescent="0.25">
      <c r="A99">
        <v>95</v>
      </c>
    </row>
    <row r="100" spans="1:29" x14ac:dyDescent="0.25">
      <c r="A100">
        <v>96</v>
      </c>
    </row>
    <row r="101" spans="1:29" x14ac:dyDescent="0.25">
      <c r="A101">
        <v>97</v>
      </c>
    </row>
    <row r="102" spans="1:29" x14ac:dyDescent="0.25">
      <c r="A102">
        <v>98</v>
      </c>
    </row>
    <row r="103" spans="1:29" x14ac:dyDescent="0.25">
      <c r="A103">
        <v>99</v>
      </c>
    </row>
    <row r="104" spans="1:29" x14ac:dyDescent="0.25">
      <c r="A104">
        <v>100</v>
      </c>
    </row>
    <row r="106" spans="1:29" x14ac:dyDescent="0.25">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25">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25">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25">
      <c r="A109">
        <v>0</v>
      </c>
    </row>
    <row r="110" spans="1:29" x14ac:dyDescent="0.25">
      <c r="A110">
        <v>1</v>
      </c>
    </row>
    <row r="111" spans="1:29" x14ac:dyDescent="0.25">
      <c r="A111">
        <v>2</v>
      </c>
    </row>
    <row r="112" spans="1:29" x14ac:dyDescent="0.25">
      <c r="A112">
        <v>3</v>
      </c>
    </row>
    <row r="113" spans="1:1" x14ac:dyDescent="0.25">
      <c r="A113">
        <v>4</v>
      </c>
    </row>
    <row r="114" spans="1:1" x14ac:dyDescent="0.25">
      <c r="A114">
        <v>5</v>
      </c>
    </row>
    <row r="115" spans="1:1" x14ac:dyDescent="0.25">
      <c r="A115">
        <v>6</v>
      </c>
    </row>
    <row r="116" spans="1:1" x14ac:dyDescent="0.25">
      <c r="A116">
        <v>7</v>
      </c>
    </row>
    <row r="117" spans="1:1" x14ac:dyDescent="0.25">
      <c r="A117">
        <v>8</v>
      </c>
    </row>
    <row r="118" spans="1:1" x14ac:dyDescent="0.25">
      <c r="A118">
        <v>9</v>
      </c>
    </row>
    <row r="119" spans="1:1" x14ac:dyDescent="0.25">
      <c r="A119">
        <v>10</v>
      </c>
    </row>
    <row r="120" spans="1:1" x14ac:dyDescent="0.25">
      <c r="A120">
        <v>11</v>
      </c>
    </row>
    <row r="121" spans="1:1" x14ac:dyDescent="0.25">
      <c r="A121">
        <v>12</v>
      </c>
    </row>
    <row r="122" spans="1:1" x14ac:dyDescent="0.25">
      <c r="A122">
        <v>13</v>
      </c>
    </row>
    <row r="123" spans="1:1" x14ac:dyDescent="0.25">
      <c r="A123">
        <v>14</v>
      </c>
    </row>
    <row r="124" spans="1:1" x14ac:dyDescent="0.25">
      <c r="A124">
        <v>15</v>
      </c>
    </row>
    <row r="125" spans="1:1" x14ac:dyDescent="0.25">
      <c r="A125">
        <v>16</v>
      </c>
    </row>
    <row r="126" spans="1:1" x14ac:dyDescent="0.25">
      <c r="A126">
        <v>17</v>
      </c>
    </row>
    <row r="127" spans="1:1" x14ac:dyDescent="0.25">
      <c r="A127">
        <v>18</v>
      </c>
    </row>
    <row r="128" spans="1:1" x14ac:dyDescent="0.25">
      <c r="A128">
        <v>19</v>
      </c>
    </row>
    <row r="129" spans="1:1" x14ac:dyDescent="0.25">
      <c r="A129">
        <v>20</v>
      </c>
    </row>
    <row r="130" spans="1:1" x14ac:dyDescent="0.25">
      <c r="A130">
        <v>21</v>
      </c>
    </row>
    <row r="131" spans="1:1" x14ac:dyDescent="0.25">
      <c r="A131">
        <v>22</v>
      </c>
    </row>
    <row r="132" spans="1:1" x14ac:dyDescent="0.25">
      <c r="A132">
        <v>23</v>
      </c>
    </row>
    <row r="133" spans="1:1" x14ac:dyDescent="0.25">
      <c r="A133">
        <v>24</v>
      </c>
    </row>
    <row r="134" spans="1:1" x14ac:dyDescent="0.25">
      <c r="A134">
        <v>25</v>
      </c>
    </row>
    <row r="135" spans="1:1" x14ac:dyDescent="0.25">
      <c r="A135">
        <v>26</v>
      </c>
    </row>
    <row r="136" spans="1:1" x14ac:dyDescent="0.25">
      <c r="A136">
        <v>27</v>
      </c>
    </row>
    <row r="137" spans="1:1" x14ac:dyDescent="0.25">
      <c r="A137">
        <v>28</v>
      </c>
    </row>
    <row r="138" spans="1:1" x14ac:dyDescent="0.25">
      <c r="A138">
        <v>29</v>
      </c>
    </row>
    <row r="139" spans="1:1" x14ac:dyDescent="0.25">
      <c r="A139">
        <v>30</v>
      </c>
    </row>
    <row r="140" spans="1:1" x14ac:dyDescent="0.25">
      <c r="A140">
        <v>31</v>
      </c>
    </row>
    <row r="141" spans="1:1" x14ac:dyDescent="0.25">
      <c r="A141">
        <v>32</v>
      </c>
    </row>
    <row r="142" spans="1:1" x14ac:dyDescent="0.25">
      <c r="A142">
        <v>33</v>
      </c>
    </row>
    <row r="143" spans="1:1" x14ac:dyDescent="0.25">
      <c r="A143">
        <v>34</v>
      </c>
    </row>
    <row r="144" spans="1:1" x14ac:dyDescent="0.25">
      <c r="A144">
        <v>35</v>
      </c>
    </row>
    <row r="145" spans="1:1" x14ac:dyDescent="0.25">
      <c r="A145">
        <v>36</v>
      </c>
    </row>
    <row r="146" spans="1:1" x14ac:dyDescent="0.25">
      <c r="A146">
        <v>37</v>
      </c>
    </row>
    <row r="147" spans="1:1" x14ac:dyDescent="0.25">
      <c r="A147">
        <v>38</v>
      </c>
    </row>
    <row r="148" spans="1:1" x14ac:dyDescent="0.25">
      <c r="A148">
        <v>39</v>
      </c>
    </row>
    <row r="149" spans="1:1" x14ac:dyDescent="0.25">
      <c r="A149">
        <v>40</v>
      </c>
    </row>
    <row r="150" spans="1:1" x14ac:dyDescent="0.25">
      <c r="A150">
        <v>41</v>
      </c>
    </row>
    <row r="151" spans="1:1" x14ac:dyDescent="0.25">
      <c r="A151">
        <v>42</v>
      </c>
    </row>
    <row r="152" spans="1:1" x14ac:dyDescent="0.25">
      <c r="A152">
        <v>43</v>
      </c>
    </row>
    <row r="153" spans="1:1" x14ac:dyDescent="0.25">
      <c r="A153">
        <v>44</v>
      </c>
    </row>
    <row r="154" spans="1:1" x14ac:dyDescent="0.25">
      <c r="A154">
        <v>45</v>
      </c>
    </row>
    <row r="155" spans="1:1" x14ac:dyDescent="0.25">
      <c r="A155">
        <v>46</v>
      </c>
    </row>
    <row r="156" spans="1:1" x14ac:dyDescent="0.25">
      <c r="A156">
        <v>47</v>
      </c>
    </row>
    <row r="157" spans="1:1" x14ac:dyDescent="0.25">
      <c r="A157">
        <v>48</v>
      </c>
    </row>
    <row r="158" spans="1:1" x14ac:dyDescent="0.25">
      <c r="A158">
        <v>49</v>
      </c>
    </row>
    <row r="159" spans="1:1" x14ac:dyDescent="0.25">
      <c r="A159">
        <v>50</v>
      </c>
    </row>
    <row r="160" spans="1:1" x14ac:dyDescent="0.25">
      <c r="A160">
        <v>51</v>
      </c>
    </row>
    <row r="161" spans="1:1" x14ac:dyDescent="0.25">
      <c r="A161">
        <v>52</v>
      </c>
    </row>
    <row r="162" spans="1:1" x14ac:dyDescent="0.25">
      <c r="A162">
        <v>53</v>
      </c>
    </row>
    <row r="163" spans="1:1" x14ac:dyDescent="0.25">
      <c r="A163">
        <v>54</v>
      </c>
    </row>
    <row r="164" spans="1:1" x14ac:dyDescent="0.25">
      <c r="A164">
        <v>55</v>
      </c>
    </row>
    <row r="165" spans="1:1" x14ac:dyDescent="0.25">
      <c r="A165">
        <v>56</v>
      </c>
    </row>
    <row r="166" spans="1:1" x14ac:dyDescent="0.25">
      <c r="A166">
        <v>57</v>
      </c>
    </row>
    <row r="167" spans="1:1" x14ac:dyDescent="0.25">
      <c r="A167">
        <v>58</v>
      </c>
    </row>
    <row r="168" spans="1:1" x14ac:dyDescent="0.25">
      <c r="A168">
        <v>59</v>
      </c>
    </row>
    <row r="169" spans="1:1" x14ac:dyDescent="0.25">
      <c r="A169">
        <v>60</v>
      </c>
    </row>
    <row r="170" spans="1:1" x14ac:dyDescent="0.25">
      <c r="A170">
        <v>61</v>
      </c>
    </row>
    <row r="171" spans="1:1" x14ac:dyDescent="0.25">
      <c r="A171">
        <v>62</v>
      </c>
    </row>
    <row r="172" spans="1:1" x14ac:dyDescent="0.25">
      <c r="A172">
        <v>63</v>
      </c>
    </row>
    <row r="173" spans="1:1" x14ac:dyDescent="0.25">
      <c r="A173">
        <v>64</v>
      </c>
    </row>
    <row r="174" spans="1:1" x14ac:dyDescent="0.25">
      <c r="A174">
        <v>65</v>
      </c>
    </row>
    <row r="175" spans="1:1" x14ac:dyDescent="0.25">
      <c r="A175">
        <v>66</v>
      </c>
    </row>
    <row r="176" spans="1:1" x14ac:dyDescent="0.25">
      <c r="A176">
        <v>67</v>
      </c>
    </row>
    <row r="177" spans="1:1" x14ac:dyDescent="0.25">
      <c r="A177">
        <v>68</v>
      </c>
    </row>
    <row r="178" spans="1:1" x14ac:dyDescent="0.25">
      <c r="A178">
        <v>69</v>
      </c>
    </row>
    <row r="179" spans="1:1" x14ac:dyDescent="0.25">
      <c r="A179">
        <v>70</v>
      </c>
    </row>
    <row r="180" spans="1:1" x14ac:dyDescent="0.25">
      <c r="A180">
        <v>71</v>
      </c>
    </row>
    <row r="181" spans="1:1" x14ac:dyDescent="0.25">
      <c r="A181">
        <v>72</v>
      </c>
    </row>
    <row r="182" spans="1:1" x14ac:dyDescent="0.25">
      <c r="A182">
        <v>73</v>
      </c>
    </row>
    <row r="183" spans="1:1" x14ac:dyDescent="0.25">
      <c r="A183">
        <v>74</v>
      </c>
    </row>
    <row r="184" spans="1:1" x14ac:dyDescent="0.25">
      <c r="A184">
        <v>75</v>
      </c>
    </row>
    <row r="185" spans="1:1" x14ac:dyDescent="0.25">
      <c r="A185">
        <v>76</v>
      </c>
    </row>
    <row r="186" spans="1:1" x14ac:dyDescent="0.25">
      <c r="A186">
        <v>77</v>
      </c>
    </row>
    <row r="187" spans="1:1" x14ac:dyDescent="0.25">
      <c r="A187">
        <v>78</v>
      </c>
    </row>
    <row r="188" spans="1:1" x14ac:dyDescent="0.25">
      <c r="A188">
        <v>79</v>
      </c>
    </row>
    <row r="189" spans="1:1" x14ac:dyDescent="0.25">
      <c r="A189">
        <v>80</v>
      </c>
    </row>
    <row r="190" spans="1:1" x14ac:dyDescent="0.25">
      <c r="A190">
        <v>81</v>
      </c>
    </row>
    <row r="191" spans="1:1" x14ac:dyDescent="0.25">
      <c r="A191">
        <v>82</v>
      </c>
    </row>
    <row r="192" spans="1:1" x14ac:dyDescent="0.25">
      <c r="A192">
        <v>83</v>
      </c>
    </row>
    <row r="193" spans="1:1" x14ac:dyDescent="0.25">
      <c r="A193">
        <v>84</v>
      </c>
    </row>
    <row r="194" spans="1:1" x14ac:dyDescent="0.25">
      <c r="A194">
        <v>85</v>
      </c>
    </row>
    <row r="195" spans="1:1" x14ac:dyDescent="0.25">
      <c r="A195">
        <v>86</v>
      </c>
    </row>
    <row r="196" spans="1:1" x14ac:dyDescent="0.25">
      <c r="A196">
        <v>87</v>
      </c>
    </row>
    <row r="197" spans="1:1" x14ac:dyDescent="0.25">
      <c r="A197">
        <v>88</v>
      </c>
    </row>
    <row r="198" spans="1:1" x14ac:dyDescent="0.25">
      <c r="A198">
        <v>89</v>
      </c>
    </row>
    <row r="199" spans="1:1" x14ac:dyDescent="0.25">
      <c r="A199">
        <v>90</v>
      </c>
    </row>
    <row r="200" spans="1:1" x14ac:dyDescent="0.25">
      <c r="A200">
        <v>91</v>
      </c>
    </row>
    <row r="201" spans="1:1" x14ac:dyDescent="0.25">
      <c r="A201">
        <v>92</v>
      </c>
    </row>
    <row r="202" spans="1:1" x14ac:dyDescent="0.25">
      <c r="A202">
        <v>93</v>
      </c>
    </row>
    <row r="203" spans="1:1" x14ac:dyDescent="0.25">
      <c r="A203">
        <v>94</v>
      </c>
    </row>
    <row r="204" spans="1:1" x14ac:dyDescent="0.25">
      <c r="A204">
        <v>95</v>
      </c>
    </row>
    <row r="205" spans="1:1" x14ac:dyDescent="0.25">
      <c r="A205">
        <v>96</v>
      </c>
    </row>
    <row r="206" spans="1:1" x14ac:dyDescent="0.25">
      <c r="A206">
        <v>97</v>
      </c>
    </row>
    <row r="207" spans="1:1" x14ac:dyDescent="0.25">
      <c r="A207">
        <v>98</v>
      </c>
    </row>
    <row r="208" spans="1:1" x14ac:dyDescent="0.25">
      <c r="A208">
        <v>99</v>
      </c>
    </row>
    <row r="209" spans="1:1" x14ac:dyDescent="0.25">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defaultColWidth="11.42578125" defaultRowHeight="15" x14ac:dyDescent="0.25"/>
  <cols>
    <col min="2" max="2" width="13.140625" bestFit="1" customWidth="1"/>
    <col min="5" max="5" width="8" bestFit="1" customWidth="1"/>
    <col min="6" max="6" width="15.5703125" bestFit="1" customWidth="1"/>
    <col min="7" max="7" width="17.7109375" bestFit="1" customWidth="1"/>
    <col min="9" max="9" width="17.5703125" customWidth="1"/>
    <col min="10" max="10" width="27.28515625" customWidth="1"/>
    <col min="11" max="11" width="11.7109375" bestFit="1" customWidth="1"/>
    <col min="12" max="12" width="8.85546875" bestFit="1" customWidth="1"/>
    <col min="13" max="13" width="14.28515625" bestFit="1" customWidth="1"/>
    <col min="14" max="14" width="14.28515625" customWidth="1"/>
    <col min="15" max="15" width="28.5703125" bestFit="1" customWidth="1"/>
    <col min="16" max="16" width="25.85546875" bestFit="1" customWidth="1"/>
    <col min="17" max="17" width="31.140625" bestFit="1" customWidth="1"/>
    <col min="18" max="18" width="18" bestFit="1" customWidth="1"/>
    <col min="19" max="19" width="12.140625" bestFit="1" customWidth="1"/>
    <col min="20" max="20" width="15.7109375" bestFit="1" customWidth="1"/>
  </cols>
  <sheetData>
    <row r="1" spans="1:23" s="3" customFormat="1" x14ac:dyDescent="0.25">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25">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25">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25">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25">
      <c r="C5" t="s">
        <v>56</v>
      </c>
      <c r="H5" t="s">
        <v>479</v>
      </c>
      <c r="J5" t="s">
        <v>500</v>
      </c>
      <c r="N5" t="s">
        <v>277</v>
      </c>
      <c r="O5" t="s">
        <v>269</v>
      </c>
      <c r="P5" t="s">
        <v>270</v>
      </c>
      <c r="S5" t="s">
        <v>271</v>
      </c>
      <c r="T5" t="s">
        <v>271</v>
      </c>
      <c r="U5" t="s">
        <v>272</v>
      </c>
    </row>
    <row r="6" spans="1:23" x14ac:dyDescent="0.25">
      <c r="C6" t="s">
        <v>57</v>
      </c>
      <c r="H6" t="s">
        <v>480</v>
      </c>
      <c r="J6" t="s">
        <v>501</v>
      </c>
      <c r="N6" t="s">
        <v>285</v>
      </c>
      <c r="O6" t="s">
        <v>274</v>
      </c>
      <c r="P6" t="s">
        <v>275</v>
      </c>
      <c r="U6" t="s">
        <v>276</v>
      </c>
    </row>
    <row r="7" spans="1:23" x14ac:dyDescent="0.25">
      <c r="C7" t="s">
        <v>58</v>
      </c>
      <c r="H7" t="s">
        <v>481</v>
      </c>
      <c r="J7" t="s">
        <v>502</v>
      </c>
      <c r="O7" t="s">
        <v>278</v>
      </c>
      <c r="P7" s="92" t="s">
        <v>279</v>
      </c>
      <c r="U7" t="s">
        <v>280</v>
      </c>
    </row>
    <row r="8" spans="1:23" x14ac:dyDescent="0.25">
      <c r="C8" t="s">
        <v>59</v>
      </c>
      <c r="H8" t="s">
        <v>482</v>
      </c>
      <c r="J8" t="s">
        <v>503</v>
      </c>
      <c r="O8" t="s">
        <v>282</v>
      </c>
      <c r="P8" t="s">
        <v>283</v>
      </c>
      <c r="U8" t="s">
        <v>284</v>
      </c>
    </row>
    <row r="9" spans="1:23" ht="14.45" x14ac:dyDescent="0.3">
      <c r="H9" t="s">
        <v>483</v>
      </c>
      <c r="J9" t="s">
        <v>504</v>
      </c>
      <c r="P9" s="92" t="s">
        <v>251</v>
      </c>
      <c r="U9" t="s">
        <v>286</v>
      </c>
    </row>
    <row r="10" spans="1:23" ht="14.45" x14ac:dyDescent="0.3">
      <c r="H10" t="s">
        <v>484</v>
      </c>
      <c r="J10" t="s">
        <v>505</v>
      </c>
      <c r="P10" t="s">
        <v>287</v>
      </c>
      <c r="U10" t="s">
        <v>288</v>
      </c>
    </row>
    <row r="11" spans="1:23" ht="14.45" x14ac:dyDescent="0.3">
      <c r="H11" t="s">
        <v>485</v>
      </c>
      <c r="J11" t="s">
        <v>506</v>
      </c>
      <c r="P11" t="s">
        <v>289</v>
      </c>
      <c r="U11" t="s">
        <v>290</v>
      </c>
    </row>
    <row r="12" spans="1:23" x14ac:dyDescent="0.25">
      <c r="H12" s="92" t="s">
        <v>251</v>
      </c>
      <c r="J12" s="92" t="s">
        <v>251</v>
      </c>
      <c r="P12" t="s">
        <v>291</v>
      </c>
      <c r="U12" t="s">
        <v>292</v>
      </c>
    </row>
    <row r="13" spans="1:23" ht="14.45" x14ac:dyDescent="0.3">
      <c r="H13" t="s">
        <v>486</v>
      </c>
      <c r="J13" t="s">
        <v>507</v>
      </c>
      <c r="P13" t="s">
        <v>293</v>
      </c>
      <c r="U13" t="s">
        <v>294</v>
      </c>
    </row>
    <row r="14" spans="1:23" x14ac:dyDescent="0.25">
      <c r="H14" t="s">
        <v>487</v>
      </c>
      <c r="J14" t="s">
        <v>508</v>
      </c>
      <c r="P14" t="s">
        <v>295</v>
      </c>
      <c r="U14" t="s">
        <v>296</v>
      </c>
    </row>
    <row r="15" spans="1:23" ht="14.45" x14ac:dyDescent="0.3">
      <c r="H15" t="s">
        <v>488</v>
      </c>
      <c r="J15" t="s">
        <v>509</v>
      </c>
      <c r="P15" t="s">
        <v>297</v>
      </c>
      <c r="U15" t="s">
        <v>298</v>
      </c>
    </row>
    <row r="16" spans="1:23" ht="14.45" x14ac:dyDescent="0.3">
      <c r="H16" s="92" t="s">
        <v>251</v>
      </c>
      <c r="J16" s="92" t="s">
        <v>251</v>
      </c>
      <c r="P16" t="s">
        <v>299</v>
      </c>
      <c r="U16" t="s">
        <v>300</v>
      </c>
    </row>
    <row r="17" spans="8:21" ht="14.45" x14ac:dyDescent="0.3">
      <c r="H17" t="s">
        <v>489</v>
      </c>
      <c r="J17" t="s">
        <v>510</v>
      </c>
      <c r="P17" t="s">
        <v>301</v>
      </c>
      <c r="U17" t="s">
        <v>302</v>
      </c>
    </row>
    <row r="18" spans="8:21" ht="14.45" x14ac:dyDescent="0.3">
      <c r="H18" t="s">
        <v>490</v>
      </c>
      <c r="J18" t="s">
        <v>511</v>
      </c>
      <c r="P18" s="92" t="s">
        <v>251</v>
      </c>
      <c r="U18" t="s">
        <v>303</v>
      </c>
    </row>
    <row r="19" spans="8:21" ht="14.45" x14ac:dyDescent="0.3">
      <c r="H19" t="s">
        <v>491</v>
      </c>
      <c r="J19" t="s">
        <v>512</v>
      </c>
      <c r="P19" t="s">
        <v>304</v>
      </c>
      <c r="U19" t="s">
        <v>305</v>
      </c>
    </row>
    <row r="20" spans="8:21" ht="14.45" x14ac:dyDescent="0.3">
      <c r="H20" t="s">
        <v>492</v>
      </c>
      <c r="J20" t="s">
        <v>513</v>
      </c>
      <c r="P20" t="s">
        <v>306</v>
      </c>
      <c r="U20" t="s">
        <v>307</v>
      </c>
    </row>
    <row r="21" spans="8:21" ht="14.45" x14ac:dyDescent="0.3">
      <c r="H21" s="92" t="s">
        <v>251</v>
      </c>
      <c r="J21" s="92" t="s">
        <v>251</v>
      </c>
      <c r="P21" s="92" t="s">
        <v>251</v>
      </c>
      <c r="U21" t="s">
        <v>308</v>
      </c>
    </row>
    <row r="22" spans="8:21" ht="14.45" x14ac:dyDescent="0.3">
      <c r="H22" t="s">
        <v>493</v>
      </c>
      <c r="J22" t="s">
        <v>514</v>
      </c>
      <c r="P22" t="s">
        <v>309</v>
      </c>
      <c r="U22" t="s">
        <v>310</v>
      </c>
    </row>
    <row r="23" spans="8:21" ht="14.45" x14ac:dyDescent="0.3">
      <c r="H23" t="s">
        <v>494</v>
      </c>
      <c r="J23" t="s">
        <v>515</v>
      </c>
      <c r="P23" t="s">
        <v>311</v>
      </c>
      <c r="U23" t="s">
        <v>312</v>
      </c>
    </row>
    <row r="24" spans="8:21" ht="14.45" x14ac:dyDescent="0.3">
      <c r="H24" t="s">
        <v>495</v>
      </c>
      <c r="J24" t="s">
        <v>516</v>
      </c>
      <c r="P24" t="s">
        <v>313</v>
      </c>
      <c r="U24" t="s">
        <v>314</v>
      </c>
    </row>
    <row r="25" spans="8:21" ht="14.45" x14ac:dyDescent="0.3">
      <c r="H25" t="s">
        <v>496</v>
      </c>
      <c r="J25" t="s">
        <v>517</v>
      </c>
      <c r="P25" t="s">
        <v>315</v>
      </c>
      <c r="U25" t="s">
        <v>316</v>
      </c>
    </row>
    <row r="26" spans="8:21" ht="14.45" x14ac:dyDescent="0.3">
      <c r="H26" t="s">
        <v>497</v>
      </c>
      <c r="J26" t="s">
        <v>518</v>
      </c>
      <c r="P26" s="92" t="s">
        <v>251</v>
      </c>
      <c r="U26" t="s">
        <v>317</v>
      </c>
    </row>
    <row r="27" spans="8:21" ht="14.45" x14ac:dyDescent="0.3">
      <c r="H27" t="s">
        <v>498</v>
      </c>
      <c r="J27" t="s">
        <v>519</v>
      </c>
      <c r="P27" t="s">
        <v>318</v>
      </c>
      <c r="U27" t="s">
        <v>319</v>
      </c>
    </row>
    <row r="28" spans="8:21" ht="14.45" x14ac:dyDescent="0.3">
      <c r="H28" s="92" t="s">
        <v>251</v>
      </c>
      <c r="J28" s="92" t="s">
        <v>251</v>
      </c>
      <c r="P28" t="s">
        <v>320</v>
      </c>
      <c r="U28" t="s">
        <v>321</v>
      </c>
    </row>
    <row r="29" spans="8:21" ht="14.45" x14ac:dyDescent="0.3">
      <c r="H29" t="s">
        <v>499</v>
      </c>
      <c r="J29" t="s">
        <v>478</v>
      </c>
      <c r="P29" s="92" t="s">
        <v>251</v>
      </c>
      <c r="U29" t="s">
        <v>322</v>
      </c>
    </row>
    <row r="30" spans="8:21" ht="14.45" x14ac:dyDescent="0.3">
      <c r="H30" t="s">
        <v>500</v>
      </c>
      <c r="J30" t="s">
        <v>479</v>
      </c>
      <c r="P30" t="s">
        <v>265</v>
      </c>
      <c r="U30" t="s">
        <v>323</v>
      </c>
    </row>
    <row r="31" spans="8:21" ht="14.45" x14ac:dyDescent="0.3">
      <c r="H31" t="s">
        <v>501</v>
      </c>
      <c r="J31" t="s">
        <v>480</v>
      </c>
      <c r="P31" t="s">
        <v>264</v>
      </c>
      <c r="U31" t="s">
        <v>324</v>
      </c>
    </row>
    <row r="32" spans="8:21" ht="14.45" x14ac:dyDescent="0.3">
      <c r="H32" t="s">
        <v>502</v>
      </c>
      <c r="J32" t="s">
        <v>481</v>
      </c>
      <c r="U32" t="s">
        <v>325</v>
      </c>
    </row>
    <row r="33" spans="8:21" ht="14.45" x14ac:dyDescent="0.3">
      <c r="H33" t="s">
        <v>503</v>
      </c>
      <c r="J33" t="s">
        <v>482</v>
      </c>
      <c r="U33" t="s">
        <v>326</v>
      </c>
    </row>
    <row r="34" spans="8:21" ht="14.45" x14ac:dyDescent="0.3">
      <c r="H34" t="s">
        <v>504</v>
      </c>
      <c r="J34" t="s">
        <v>483</v>
      </c>
      <c r="U34" t="s">
        <v>327</v>
      </c>
    </row>
    <row r="35" spans="8:21" ht="14.45" x14ac:dyDescent="0.3">
      <c r="H35" t="s">
        <v>505</v>
      </c>
      <c r="J35" t="s">
        <v>484</v>
      </c>
      <c r="U35" t="s">
        <v>328</v>
      </c>
    </row>
    <row r="36" spans="8:21" ht="14.45" x14ac:dyDescent="0.3">
      <c r="H36" t="s">
        <v>506</v>
      </c>
      <c r="J36" t="s">
        <v>485</v>
      </c>
      <c r="U36" t="s">
        <v>329</v>
      </c>
    </row>
    <row r="37" spans="8:21" ht="14.45" x14ac:dyDescent="0.3">
      <c r="H37" s="92" t="s">
        <v>251</v>
      </c>
      <c r="J37" s="92" t="s">
        <v>251</v>
      </c>
      <c r="U37" s="92" t="s">
        <v>251</v>
      </c>
    </row>
    <row r="38" spans="8:21" ht="14.45" x14ac:dyDescent="0.3">
      <c r="H38" t="s">
        <v>507</v>
      </c>
      <c r="J38" t="s">
        <v>486</v>
      </c>
      <c r="U38" t="s">
        <v>330</v>
      </c>
    </row>
    <row r="39" spans="8:21" ht="14.45" x14ac:dyDescent="0.3">
      <c r="H39" t="s">
        <v>508</v>
      </c>
      <c r="J39" t="s">
        <v>487</v>
      </c>
      <c r="U39" t="s">
        <v>331</v>
      </c>
    </row>
    <row r="40" spans="8:21" ht="14.45" x14ac:dyDescent="0.3">
      <c r="H40" t="s">
        <v>509</v>
      </c>
      <c r="J40" t="s">
        <v>488</v>
      </c>
      <c r="U40" t="s">
        <v>332</v>
      </c>
    </row>
    <row r="41" spans="8:21" ht="14.45" x14ac:dyDescent="0.3">
      <c r="H41" s="92" t="s">
        <v>251</v>
      </c>
      <c r="J41" s="92" t="s">
        <v>251</v>
      </c>
      <c r="U41" t="s">
        <v>333</v>
      </c>
    </row>
    <row r="42" spans="8:21" ht="14.45" x14ac:dyDescent="0.3">
      <c r="H42" t="s">
        <v>510</v>
      </c>
      <c r="J42" t="s">
        <v>489</v>
      </c>
      <c r="U42" t="s">
        <v>334</v>
      </c>
    </row>
    <row r="43" spans="8:21" ht="14.45" x14ac:dyDescent="0.3">
      <c r="H43" t="s">
        <v>511</v>
      </c>
      <c r="J43" t="s">
        <v>490</v>
      </c>
      <c r="U43" t="s">
        <v>335</v>
      </c>
    </row>
    <row r="44" spans="8:21" ht="14.45" x14ac:dyDescent="0.3">
      <c r="H44" t="s">
        <v>512</v>
      </c>
      <c r="J44" t="s">
        <v>491</v>
      </c>
      <c r="U44" t="s">
        <v>336</v>
      </c>
    </row>
    <row r="45" spans="8:21" ht="14.45" x14ac:dyDescent="0.3">
      <c r="H45" t="s">
        <v>513</v>
      </c>
      <c r="J45" t="s">
        <v>492</v>
      </c>
      <c r="U45" t="s">
        <v>337</v>
      </c>
    </row>
    <row r="46" spans="8:21" ht="14.45" x14ac:dyDescent="0.3">
      <c r="H46" s="92" t="s">
        <v>251</v>
      </c>
      <c r="J46" s="92" t="s">
        <v>251</v>
      </c>
      <c r="U46" t="s">
        <v>338</v>
      </c>
    </row>
    <row r="47" spans="8:21" ht="14.45" x14ac:dyDescent="0.3">
      <c r="H47" t="s">
        <v>514</v>
      </c>
      <c r="J47" t="s">
        <v>493</v>
      </c>
      <c r="U47" t="s">
        <v>339</v>
      </c>
    </row>
    <row r="48" spans="8:21" ht="14.45" x14ac:dyDescent="0.3">
      <c r="H48" t="s">
        <v>515</v>
      </c>
      <c r="J48" t="s">
        <v>494</v>
      </c>
      <c r="U48" t="s">
        <v>340</v>
      </c>
    </row>
    <row r="49" spans="8:21" ht="14.45" x14ac:dyDescent="0.3">
      <c r="H49" t="s">
        <v>516</v>
      </c>
      <c r="J49" t="s">
        <v>495</v>
      </c>
      <c r="U49" t="s">
        <v>341</v>
      </c>
    </row>
    <row r="50" spans="8:21" ht="14.45" x14ac:dyDescent="0.3">
      <c r="H50" t="s">
        <v>517</v>
      </c>
      <c r="J50" t="s">
        <v>496</v>
      </c>
      <c r="U50" t="s">
        <v>342</v>
      </c>
    </row>
    <row r="51" spans="8:21" ht="14.45" x14ac:dyDescent="0.3">
      <c r="H51" t="s">
        <v>518</v>
      </c>
      <c r="J51" t="s">
        <v>497</v>
      </c>
      <c r="U51" t="s">
        <v>343</v>
      </c>
    </row>
    <row r="52" spans="8:21" ht="14.45" x14ac:dyDescent="0.3">
      <c r="H52" t="s">
        <v>519</v>
      </c>
      <c r="J52" t="s">
        <v>498</v>
      </c>
      <c r="U52" t="s">
        <v>344</v>
      </c>
    </row>
    <row r="53" spans="8:21" ht="14.45" x14ac:dyDescent="0.3">
      <c r="U53" t="s">
        <v>345</v>
      </c>
    </row>
    <row r="54" spans="8:21" ht="14.45" x14ac:dyDescent="0.3">
      <c r="U54" t="s">
        <v>346</v>
      </c>
    </row>
    <row r="55" spans="8:21" ht="14.45" x14ac:dyDescent="0.3">
      <c r="U55" t="s">
        <v>347</v>
      </c>
    </row>
    <row r="56" spans="8:21" ht="14.45" x14ac:dyDescent="0.3">
      <c r="U56" t="s">
        <v>348</v>
      </c>
    </row>
    <row r="57" spans="8:21" ht="14.45" x14ac:dyDescent="0.3">
      <c r="U57" t="s">
        <v>349</v>
      </c>
    </row>
    <row r="58" spans="8:21" x14ac:dyDescent="0.25">
      <c r="U58" t="s">
        <v>350</v>
      </c>
    </row>
    <row r="59" spans="8:21" x14ac:dyDescent="0.25">
      <c r="U59" t="s">
        <v>351</v>
      </c>
    </row>
    <row r="60" spans="8:21" x14ac:dyDescent="0.25">
      <c r="U60" t="s">
        <v>352</v>
      </c>
    </row>
    <row r="61" spans="8:21" x14ac:dyDescent="0.25">
      <c r="U61" t="s">
        <v>353</v>
      </c>
    </row>
    <row r="62" spans="8:21" x14ac:dyDescent="0.25">
      <c r="U62" t="s">
        <v>354</v>
      </c>
    </row>
    <row r="63" spans="8:21" x14ac:dyDescent="0.25">
      <c r="U63" t="s">
        <v>355</v>
      </c>
    </row>
    <row r="64" spans="8:21" x14ac:dyDescent="0.25">
      <c r="U64" t="s">
        <v>356</v>
      </c>
    </row>
    <row r="65" spans="21:21" x14ac:dyDescent="0.25">
      <c r="U65" t="s">
        <v>357</v>
      </c>
    </row>
    <row r="66" spans="21:21" x14ac:dyDescent="0.25">
      <c r="U66" t="s">
        <v>358</v>
      </c>
    </row>
    <row r="67" spans="21:21" x14ac:dyDescent="0.25">
      <c r="U67" t="s">
        <v>359</v>
      </c>
    </row>
    <row r="68" spans="21:21" x14ac:dyDescent="0.25">
      <c r="U68" t="s">
        <v>360</v>
      </c>
    </row>
    <row r="69" spans="21:21" x14ac:dyDescent="0.25">
      <c r="U69" t="s">
        <v>361</v>
      </c>
    </row>
    <row r="70" spans="21:21" x14ac:dyDescent="0.25">
      <c r="U70" t="s">
        <v>362</v>
      </c>
    </row>
    <row r="71" spans="21:21" x14ac:dyDescent="0.25">
      <c r="U71" t="s">
        <v>363</v>
      </c>
    </row>
    <row r="72" spans="21:21" x14ac:dyDescent="0.25">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Schreiber Céline</cp:lastModifiedBy>
  <cp:lastPrinted>2018-05-03T10:43:01Z</cp:lastPrinted>
  <dcterms:created xsi:type="dcterms:W3CDTF">2017-11-28T07:32:02Z</dcterms:created>
  <dcterms:modified xsi:type="dcterms:W3CDTF">2018-06-29T09:54:22Z</dcterms:modified>
</cp:coreProperties>
</file>